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7171f75d1746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a569ee0cb34f9b"/>
    <x:sheet xmlns:r="http://schemas.openxmlformats.org/officeDocument/2006/relationships" name="Route Analysis" sheetId="2" r:id="R154520e477a54ad0"/>
    <x:sheet xmlns:r="http://schemas.openxmlformats.org/officeDocument/2006/relationships" name="Assumptions" sheetId="3" r:id="R699d917fe3534e82"/>
    <x:sheet xmlns:r="http://schemas.openxmlformats.org/officeDocument/2006/relationships" name="Methodology" sheetId="4" r:id="R68f060970f5141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0.0000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9"/>
      <x:color rgb="FF1E293B"/>
      <x:name val="Carlito"/>
    </x:font>
    <x:font>
      <x:b/>
      <x:sz val="18"/>
      <x:color rgb="FFFFFFFF"/>
      <x:name val="Carlito"/>
    </x:font>
    <x:font>
      <x:i/>
      <x:sz val="11"/>
      <x:color rgb="FF1E3A8A"/>
      <x:name val="Carlito"/>
    </x:font>
    <x:font>
      <x:b/>
      <x:sz val="22"/>
      <x:color rgb="FF2563EB"/>
      <x:name val="Carlito"/>
    </x:font>
    <x:font>
      <x:b/>
      <x:sz val="22"/>
      <x:color rgb="FF10B981"/>
      <x:name val="Carlito"/>
    </x:font>
    <x:font>
      <x:b/>
      <x:sz val="22"/>
      <x:color rgb="FFF59E0B"/>
      <x:name val="Carlito"/>
    </x:font>
    <x:font>
      <x:b/>
      <x:sz val="22"/>
      <x:color rgb="FFEF4444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2563EB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10B981"/>
      </x:patternFill>
    </x:fill>
    <x:fill>
      <x:patternFill patternType="solid">
        <x:fgColor rgb="FFF59E0B"/>
      </x:patternFill>
    </x:fill>
    <x:fill>
      <x:patternFill patternType="solid">
        <x:fgColor rgb="FFEF4444"/>
      </x:patternFill>
    </x:fill>
  </x:fills>
  <x:borders count="37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left style="thin">
        <x:color rgb="FF2563EB"/>
      </x:left>
      <x:top style="thin">
        <x:color rgb="FF2563EB"/>
      </x:top>
    </x:border>
    <x:border>
      <x:right style="thin">
        <x:color rgb="FF2563EB"/>
      </x:right>
      <x:top style="thin">
        <x:color rgb="FF2563EB"/>
      </x:top>
    </x:border>
    <x:border>
      <x:left style="thin">
        <x:color rgb="FF2563EB"/>
      </x:left>
    </x:border>
    <x:border>
      <x:right style="thin">
        <x:color rgb="FF2563EB"/>
      </x:right>
    </x:border>
    <x:border>
      <x:left style="thin">
        <x:color rgb="FF2563EB"/>
      </x:left>
      <x:bottom style="thin">
        <x:color rgb="FF2563EB"/>
      </x:bottom>
    </x:border>
    <x:border>
      <x:right style="thin">
        <x:color rgb="FF2563EB"/>
      </x:right>
      <x:bottom style="thin">
        <x:color rgb="FF2563EB"/>
      </x:bottom>
    </x:border>
    <x:border>
      <x:left style="thin">
        <x:color rgb="FF10B981"/>
      </x:left>
      <x:top style="thin">
        <x:color rgb="FF10B981"/>
      </x:top>
    </x:border>
    <x:border>
      <x:right style="thin">
        <x:color rgb="FF10B981"/>
      </x:right>
      <x:top style="thin">
        <x:color rgb="FF10B981"/>
      </x:top>
    </x:border>
    <x:border>
      <x:left style="thin">
        <x:color rgb="FF10B981"/>
      </x:left>
    </x:border>
    <x:border>
      <x:right style="thin">
        <x:color rgb="FF10B981"/>
      </x:right>
    </x:border>
    <x:border>
      <x:left style="thin">
        <x:color rgb="FF10B981"/>
      </x:left>
      <x:bottom style="thin">
        <x:color rgb="FF10B981"/>
      </x:bottom>
    </x:border>
    <x:border>
      <x:right style="thin">
        <x:color rgb="FF10B981"/>
      </x:right>
      <x:bottom style="thin">
        <x:color rgb="FF10B981"/>
      </x:bottom>
    </x:border>
    <x:border>
      <x:left style="thin">
        <x:color rgb="FFF59E0B"/>
      </x:left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EF4444"/>
      </x:left>
      <x:top style="thin">
        <x:color rgb="FFEF4444"/>
      </x:top>
    </x:border>
    <x:border>
      <x:right style="thin">
        <x:color rgb="FFEF4444"/>
      </x:right>
      <x:top style="thin">
        <x:color rgb="FFEF4444"/>
      </x:top>
    </x:border>
    <x:border>
      <x:left style="thin">
        <x:color rgb="FFEF4444"/>
      </x:left>
    </x:border>
    <x:border>
      <x:right style="thin">
        <x:color rgb="FFEF4444"/>
      </x:right>
    </x:border>
    <x:border>
      <x:left style="thin">
        <x:color rgb="FFEF4444"/>
      </x:left>
      <x:bottom style="thin">
        <x:color rgb="FFEF4444"/>
      </x:bottom>
    </x:border>
    <x:border>
      <x:right style="thin">
        <x:color rgb="FFEF4444"/>
      </x:right>
      <x:bottom style="thin">
        <x:color rgb="FFEF4444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7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8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0" fontId="2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202" fontId="0" fillId="0" borderId="10" xfId="0" applyNumberFormat="1" applyFont="1" applyFill="1" applyBorder="1"/>
    <x:xf numFmtId="201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0" xfId="0" applyNumberFormat="1" applyFont="1" applyFill="1" applyBorder="1"/>
    <x:xf numFmtId="0" fontId="0" fillId="0" borderId="11" xfId="0" applyNumberFormat="1" applyFont="1" applyFill="1" applyBorder="1"/>
    <x:xf numFmtId="202" fontId="0" fillId="0" borderId="11" xfId="0" applyNumberFormat="1" applyFont="1" applyFill="1" applyBorder="1"/>
    <x:xf numFmtId="201" fontId="0" fillId="0" borderId="11" xfId="0" applyNumberFormat="1" applyFont="1" applyFill="1" applyBorder="1"/>
    <x:xf numFmtId="0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1" xfId="0" applyNumberFormat="1" applyFont="1" applyFill="1" applyBorder="1"/>
    <x:xf numFmtId="0" fontId="3" fillId="0" borderId="10" xfId="0" applyNumberFormat="1" applyFont="1" applyFill="1" applyBorder="1"/>
    <x:xf numFmtId="202" fontId="3" fillId="0" borderId="10" xfId="0" applyNumberFormat="1" applyFont="1" applyFill="1" applyBorder="1"/>
    <x:xf numFmtId="201" fontId="3" fillId="0" borderId="10" xfId="0" applyNumberFormat="1" applyFont="1" applyFill="1" applyBorder="1"/>
    <x:xf numFmtId="0" fontId="3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10" xfId="0" applyNumberFormat="1" applyFont="1" applyFill="1" applyBorder="1"/>
    <x:xf numFmtId="0" fontId="3" fillId="0" borderId="11" xfId="0" applyNumberFormat="1" applyFont="1" applyFill="1" applyBorder="1"/>
    <x:xf numFmtId="202" fontId="3" fillId="0" borderId="11" xfId="0" applyNumberFormat="1" applyFont="1" applyFill="1" applyBorder="1"/>
    <x:xf numFmtId="201" fontId="3" fillId="0" borderId="11" xfId="0" applyNumberFormat="1" applyFont="1" applyFill="1" applyBorder="1"/>
    <x:xf numFmtId="0" fontId="3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1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0" fillId="5" borderId="16" xfId="0" applyNumberFormat="1" applyFont="1" applyFill="1" applyBorder="1"/>
    <x:xf numFmtId="0" fontId="0" fillId="5" borderId="17" xfId="0" applyNumberFormat="1" applyFont="1" applyFill="1" applyBorder="1"/>
    <x:xf numFmtId="0" fontId="0" fillId="3" borderId="12" xfId="0" applyNumberFormat="1" applyFont="1" applyFill="1" applyBorder="1"/>
    <x:xf numFmtId="0" fontId="0" fillId="3" borderId="13" xfId="0" applyNumberFormat="1" applyFont="1" applyFill="1" applyBorder="1"/>
    <x:xf numFmtId="0" fontId="2" fillId="3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12" xfId="0" applyNumberFormat="1" applyFont="1" applyFill="1" applyBorder="1" applyAlignment="1">
      <x:alignment horizontal="center"/>
    </x:xf>
    <x:xf numFmtId="0" fontId="2" fillId="3" borderId="13" xfId="0" applyNumberFormat="1" applyFont="1" applyFill="1" applyBorder="1" applyAlignment="1">
      <x:alignment horizontal="center"/>
    </x:xf>
    <x:xf numFmtId="0" fontId="6" fillId="5" borderId="14" xfId="0" applyNumberFormat="1" applyFont="1" applyFill="1" applyBorder="1"/>
    <x:xf numFmtId="0" fontId="6" fillId="5" borderId="15" xfId="0" applyNumberFormat="1" applyFont="1" applyFill="1" applyBorder="1"/>
    <x:xf numFmtId="0" fontId="6" fillId="5" borderId="16" xfId="0" applyNumberFormat="1" applyFont="1" applyFill="1" applyBorder="1"/>
    <x:xf numFmtId="0" fontId="6" fillId="5" borderId="17" xfId="0" applyNumberFormat="1" applyFont="1" applyFill="1" applyBorder="1"/>
    <x:xf numFmtId="200" fontId="6" fillId="5" borderId="14" xfId="0" applyNumberFormat="1" applyFont="1" applyFill="1" applyBorder="1"/>
    <x:xf numFmtId="200" fontId="6" fillId="5" borderId="15" xfId="0" applyNumberFormat="1" applyFont="1" applyFill="1" applyBorder="1"/>
    <x:xf numFmtId="200" fontId="6" fillId="5" borderId="16" xfId="0" applyNumberFormat="1" applyFont="1" applyFill="1" applyBorder="1"/>
    <x:xf numFmtId="200" fontId="6" fillId="5" borderId="17" xfId="0" applyNumberFormat="1" applyFont="1" applyFill="1" applyBorder="1"/>
    <x:xf numFmtId="200" fontId="6" fillId="5" borderId="14" xfId="0" applyNumberFormat="1" applyFont="1" applyFill="1" applyBorder="1" applyAlignment="1">
      <x:alignment horizontal="center"/>
    </x:xf>
    <x:xf numFmtId="200" fontId="6" fillId="5" borderId="15" xfId="0" applyNumberFormat="1" applyFont="1" applyFill="1" applyBorder="1" applyAlignment="1">
      <x:alignment horizontal="center"/>
    </x:xf>
    <x:xf numFmtId="200" fontId="6" fillId="5" borderId="16" xfId="0" applyNumberFormat="1" applyFont="1" applyFill="1" applyBorder="1" applyAlignment="1">
      <x:alignment horizontal="center"/>
    </x:xf>
    <x:xf numFmtId="200" fontId="6" fillId="5" borderId="17" xfId="0" applyNumberFormat="1" applyFont="1" applyFill="1" applyBorder="1" applyAlignment="1">
      <x:alignment horizontal="center"/>
    </x:xf>
    <x:xf numFmtId="200" fontId="6" fillId="5" borderId="14" xfId="0" applyNumberFormat="1" applyFont="1" applyFill="1" applyBorder="1" applyAlignment="1">
      <x:alignment horizontal="center" vertical="center"/>
    </x:xf>
    <x:xf numFmtId="200" fontId="6" fillId="5" borderId="15" xfId="0" applyNumberFormat="1" applyFont="1" applyFill="1" applyBorder="1" applyAlignment="1">
      <x:alignment horizontal="center" vertical="center"/>
    </x:xf>
    <x:xf numFmtId="200" fontId="6" fillId="5" borderId="16" xfId="0" applyNumberFormat="1" applyFont="1" applyFill="1" applyBorder="1" applyAlignment="1">
      <x:alignment horizontal="center" vertical="center"/>
    </x:xf>
    <x:xf numFmtId="200" fontId="6" fillId="5" borderId="17" xfId="0" applyNumberFormat="1" applyFont="1" applyFill="1" applyBorder="1" applyAlignment="1">
      <x:alignment horizontal="center" vertical="center"/>
    </x:xf>
    <x:xf numFmtId="0" fontId="0" fillId="5" borderId="18" xfId="0" applyNumberFormat="1" applyFont="1" applyFill="1" applyBorder="1"/>
    <x:xf numFmtId="0" fontId="0" fillId="5" borderId="19" xfId="0" applyNumberFormat="1" applyFont="1" applyFill="1" applyBorder="1"/>
    <x:xf numFmtId="0" fontId="0" fillId="5" borderId="20" xfId="0" applyNumberFormat="1" applyFont="1" applyFill="1" applyBorder="1"/>
    <x:xf numFmtId="0" fontId="0" fillId="5" borderId="21" xfId="0" applyNumberFormat="1" applyFont="1" applyFill="1" applyBorder="1"/>
    <x:xf numFmtId="0" fontId="0" fillId="5" borderId="22" xfId="0" applyNumberFormat="1" applyFont="1" applyFill="1" applyBorder="1"/>
    <x:xf numFmtId="0" fontId="0" fillId="5" borderId="23" xfId="0" applyNumberFormat="1" applyFont="1" applyFill="1" applyBorder="1"/>
    <x:xf numFmtId="0" fontId="0" fillId="6" borderId="18" xfId="0" applyNumberFormat="1" applyFont="1" applyFill="1" applyBorder="1"/>
    <x:xf numFmtId="0" fontId="0" fillId="6" borderId="19" xfId="0" applyNumberFormat="1" applyFont="1" applyFill="1" applyBorder="1"/>
    <x:xf numFmtId="0" fontId="2" fillId="6" borderId="18" xfId="0" applyNumberFormat="1" applyFont="1" applyFill="1" applyBorder="1"/>
    <x:xf numFmtId="0" fontId="2" fillId="6" borderId="19" xfId="0" applyNumberFormat="1" applyFont="1" applyFill="1" applyBorder="1"/>
    <x:xf numFmtId="0" fontId="2" fillId="6" borderId="18" xfId="0" applyNumberFormat="1" applyFont="1" applyFill="1" applyBorder="1" applyAlignment="1">
      <x:alignment horizontal="center"/>
    </x:xf>
    <x:xf numFmtId="0" fontId="2" fillId="6" borderId="19" xfId="0" applyNumberFormat="1" applyFont="1" applyFill="1" applyBorder="1" applyAlignment="1">
      <x:alignment horizontal="center"/>
    </x:xf>
    <x:xf numFmtId="0" fontId="7" fillId="5" borderId="20" xfId="0" applyNumberFormat="1" applyFont="1" applyFill="1" applyBorder="1"/>
    <x:xf numFmtId="0" fontId="7" fillId="5" borderId="21" xfId="0" applyNumberFormat="1" applyFont="1" applyFill="1" applyBorder="1"/>
    <x:xf numFmtId="0" fontId="7" fillId="5" borderId="22" xfId="0" applyNumberFormat="1" applyFont="1" applyFill="1" applyBorder="1"/>
    <x:xf numFmtId="0" fontId="7" fillId="5" borderId="23" xfId="0" applyNumberFormat="1" applyFont="1" applyFill="1" applyBorder="1"/>
    <x:xf numFmtId="200" fontId="7" fillId="5" borderId="20" xfId="0" applyNumberFormat="1" applyFont="1" applyFill="1" applyBorder="1"/>
    <x:xf numFmtId="200" fontId="7" fillId="5" borderId="21" xfId="0" applyNumberFormat="1" applyFont="1" applyFill="1" applyBorder="1"/>
    <x:xf numFmtId="200" fontId="7" fillId="5" borderId="22" xfId="0" applyNumberFormat="1" applyFont="1" applyFill="1" applyBorder="1"/>
    <x:xf numFmtId="200" fontId="7" fillId="5" borderId="23" xfId="0" applyNumberFormat="1" applyFont="1" applyFill="1" applyBorder="1"/>
    <x:xf numFmtId="200" fontId="7" fillId="5" borderId="20" xfId="0" applyNumberFormat="1" applyFont="1" applyFill="1" applyBorder="1" applyAlignment="1">
      <x:alignment horizontal="center"/>
    </x:xf>
    <x:xf numFmtId="200" fontId="7" fillId="5" borderId="21" xfId="0" applyNumberFormat="1" applyFont="1" applyFill="1" applyBorder="1" applyAlignment="1">
      <x:alignment horizontal="center"/>
    </x:xf>
    <x:xf numFmtId="200" fontId="7" fillId="5" borderId="22" xfId="0" applyNumberFormat="1" applyFont="1" applyFill="1" applyBorder="1" applyAlignment="1">
      <x:alignment horizontal="center"/>
    </x:xf>
    <x:xf numFmtId="200" fontId="7" fillId="5" borderId="23" xfId="0" applyNumberFormat="1" applyFont="1" applyFill="1" applyBorder="1" applyAlignment="1">
      <x:alignment horizontal="center"/>
    </x:xf>
    <x:xf numFmtId="200" fontId="7" fillId="5" borderId="20" xfId="0" applyNumberFormat="1" applyFont="1" applyFill="1" applyBorder="1" applyAlignment="1">
      <x:alignment horizontal="center" vertical="center"/>
    </x:xf>
    <x:xf numFmtId="200" fontId="7" fillId="5" borderId="21" xfId="0" applyNumberFormat="1" applyFont="1" applyFill="1" applyBorder="1" applyAlignment="1">
      <x:alignment horizontal="center" vertical="center"/>
    </x:xf>
    <x:xf numFmtId="200" fontId="7" fillId="5" borderId="22" xfId="0" applyNumberFormat="1" applyFont="1" applyFill="1" applyBorder="1" applyAlignment="1">
      <x:alignment horizontal="center" vertical="center"/>
    </x:xf>
    <x:xf numFmtId="200" fontId="7" fillId="5" borderId="23" xfId="0" applyNumberFormat="1" applyFont="1" applyFill="1" applyBorder="1" applyAlignment="1">
      <x:alignment horizontal="center" vertical="center"/>
    </x:xf>
    <x:xf numFmtId="0" fontId="0" fillId="5" borderId="24" xfId="0" applyNumberFormat="1" applyFont="1" applyFill="1" applyBorder="1"/>
    <x:xf numFmtId="0" fontId="0" fillId="5" borderId="25" xfId="0" applyNumberFormat="1" applyFont="1" applyFill="1" applyBorder="1"/>
    <x:xf numFmtId="0" fontId="0" fillId="5" borderId="26" xfId="0" applyNumberFormat="1" applyFont="1" applyFill="1" applyBorder="1"/>
    <x:xf numFmtId="0" fontId="0" fillId="5" borderId="27" xfId="0" applyNumberFormat="1" applyFont="1" applyFill="1" applyBorder="1"/>
    <x:xf numFmtId="0" fontId="0" fillId="5" borderId="28" xfId="0" applyNumberFormat="1" applyFont="1" applyFill="1" applyBorder="1"/>
    <x:xf numFmtId="0" fontId="0" fillId="5" borderId="29" xfId="0" applyNumberFormat="1" applyFont="1" applyFill="1" applyBorder="1"/>
    <x:xf numFmtId="0" fontId="0" fillId="7" borderId="24" xfId="0" applyNumberFormat="1" applyFont="1" applyFill="1" applyBorder="1"/>
    <x:xf numFmtId="0" fontId="0" fillId="7" borderId="25" xfId="0" applyNumberFormat="1" applyFont="1" applyFill="1" applyBorder="1"/>
    <x:xf numFmtId="0" fontId="2" fillId="7" borderId="24" xfId="0" applyNumberFormat="1" applyFont="1" applyFill="1" applyBorder="1"/>
    <x:xf numFmtId="0" fontId="2" fillId="7" borderId="25" xfId="0" applyNumberFormat="1" applyFont="1" applyFill="1" applyBorder="1"/>
    <x:xf numFmtId="0" fontId="2" fillId="7" borderId="24" xfId="0" applyNumberFormat="1" applyFont="1" applyFill="1" applyBorder="1" applyAlignment="1">
      <x:alignment horizontal="center"/>
    </x:xf>
    <x:xf numFmtId="0" fontId="2" fillId="7" borderId="25" xfId="0" applyNumberFormat="1" applyFont="1" applyFill="1" applyBorder="1" applyAlignment="1">
      <x:alignment horizontal="center"/>
    </x:xf>
    <x:xf numFmtId="0" fontId="8" fillId="5" borderId="26" xfId="0" applyNumberFormat="1" applyFont="1" applyFill="1" applyBorder="1"/>
    <x:xf numFmtId="0" fontId="8" fillId="5" borderId="27" xfId="0" applyNumberFormat="1" applyFont="1" applyFill="1" applyBorder="1"/>
    <x:xf numFmtId="0" fontId="8" fillId="5" borderId="28" xfId="0" applyNumberFormat="1" applyFont="1" applyFill="1" applyBorder="1"/>
    <x:xf numFmtId="0" fontId="8" fillId="5" borderId="29" xfId="0" applyNumberFormat="1" applyFont="1" applyFill="1" applyBorder="1"/>
    <x:xf numFmtId="200" fontId="8" fillId="5" borderId="26" xfId="0" applyNumberFormat="1" applyFont="1" applyFill="1" applyBorder="1"/>
    <x:xf numFmtId="200" fontId="8" fillId="5" borderId="27" xfId="0" applyNumberFormat="1" applyFont="1" applyFill="1" applyBorder="1"/>
    <x:xf numFmtId="200" fontId="8" fillId="5" borderId="28" xfId="0" applyNumberFormat="1" applyFont="1" applyFill="1" applyBorder="1"/>
    <x:xf numFmtId="200" fontId="8" fillId="5" borderId="29" xfId="0" applyNumberFormat="1" applyFont="1" applyFill="1" applyBorder="1"/>
    <x:xf numFmtId="200" fontId="8" fillId="5" borderId="26" xfId="0" applyNumberFormat="1" applyFont="1" applyFill="1" applyBorder="1" applyAlignment="1">
      <x:alignment horizontal="center"/>
    </x:xf>
    <x:xf numFmtId="200" fontId="8" fillId="5" borderId="27" xfId="0" applyNumberFormat="1" applyFont="1" applyFill="1" applyBorder="1" applyAlignment="1">
      <x:alignment horizontal="center"/>
    </x:xf>
    <x:xf numFmtId="200" fontId="8" fillId="5" borderId="28" xfId="0" applyNumberFormat="1" applyFont="1" applyFill="1" applyBorder="1" applyAlignment="1">
      <x:alignment horizontal="center"/>
    </x:xf>
    <x:xf numFmtId="200" fontId="8" fillId="5" borderId="29" xfId="0" applyNumberFormat="1" applyFont="1" applyFill="1" applyBorder="1" applyAlignment="1">
      <x:alignment horizontal="center"/>
    </x:xf>
    <x:xf numFmtId="200" fontId="8" fillId="5" borderId="26" xfId="0" applyNumberFormat="1" applyFont="1" applyFill="1" applyBorder="1" applyAlignment="1">
      <x:alignment horizontal="center" vertical="center"/>
    </x:xf>
    <x:xf numFmtId="200" fontId="8" fillId="5" borderId="27" xfId="0" applyNumberFormat="1" applyFont="1" applyFill="1" applyBorder="1" applyAlignment="1">
      <x:alignment horizontal="center" vertical="center"/>
    </x:xf>
    <x:xf numFmtId="200" fontId="8" fillId="5" borderId="28" xfId="0" applyNumberFormat="1" applyFont="1" applyFill="1" applyBorder="1" applyAlignment="1">
      <x:alignment horizontal="center" vertical="center"/>
    </x:xf>
    <x:xf numFmtId="200" fontId="8" fillId="5" borderId="29" xfId="0" applyNumberFormat="1" applyFont="1" applyFill="1" applyBorder="1" applyAlignment="1">
      <x:alignment horizontal="center" vertical="center"/>
    </x:xf>
    <x:xf numFmtId="0" fontId="0" fillId="5" borderId="30" xfId="0" applyNumberFormat="1" applyFont="1" applyFill="1" applyBorder="1"/>
    <x:xf numFmtId="0" fontId="0" fillId="5" borderId="31" xfId="0" applyNumberFormat="1" applyFont="1" applyFill="1" applyBorder="1"/>
    <x:xf numFmtId="0" fontId="0" fillId="5" borderId="32" xfId="0" applyNumberFormat="1" applyFont="1" applyFill="1" applyBorder="1"/>
    <x:xf numFmtId="0" fontId="0" fillId="5" borderId="33" xfId="0" applyNumberFormat="1" applyFont="1" applyFill="1" applyBorder="1"/>
    <x:xf numFmtId="0" fontId="0" fillId="5" borderId="34" xfId="0" applyNumberFormat="1" applyFont="1" applyFill="1" applyBorder="1"/>
    <x:xf numFmtId="0" fontId="0" fillId="5" borderId="35" xfId="0" applyNumberFormat="1" applyFont="1" applyFill="1" applyBorder="1"/>
    <x:xf numFmtId="0" fontId="0" fillId="8" borderId="30" xfId="0" applyNumberFormat="1" applyFont="1" applyFill="1" applyBorder="1"/>
    <x:xf numFmtId="0" fontId="0" fillId="8" borderId="31" xfId="0" applyNumberFormat="1" applyFont="1" applyFill="1" applyBorder="1"/>
    <x:xf numFmtId="0" fontId="2" fillId="8" borderId="30" xfId="0" applyNumberFormat="1" applyFont="1" applyFill="1" applyBorder="1"/>
    <x:xf numFmtId="0" fontId="2" fillId="8" borderId="31" xfId="0" applyNumberFormat="1" applyFont="1" applyFill="1" applyBorder="1"/>
    <x:xf numFmtId="0" fontId="2" fillId="8" borderId="30" xfId="0" applyNumberFormat="1" applyFont="1" applyFill="1" applyBorder="1" applyAlignment="1">
      <x:alignment horizontal="center"/>
    </x:xf>
    <x:xf numFmtId="0" fontId="2" fillId="8" borderId="31" xfId="0" applyNumberFormat="1" applyFont="1" applyFill="1" applyBorder="1" applyAlignment="1">
      <x:alignment horizontal="center"/>
    </x:xf>
    <x:xf numFmtId="0" fontId="9" fillId="5" borderId="32" xfId="0" applyNumberFormat="1" applyFont="1" applyFill="1" applyBorder="1"/>
    <x:xf numFmtId="0" fontId="9" fillId="5" borderId="33" xfId="0" applyNumberFormat="1" applyFont="1" applyFill="1" applyBorder="1"/>
    <x:xf numFmtId="0" fontId="9" fillId="5" borderId="34" xfId="0" applyNumberFormat="1" applyFont="1" applyFill="1" applyBorder="1"/>
    <x:xf numFmtId="0" fontId="9" fillId="5" borderId="35" xfId="0" applyNumberFormat="1" applyFont="1" applyFill="1" applyBorder="1"/>
    <x:xf numFmtId="200" fontId="9" fillId="5" borderId="32" xfId="0" applyNumberFormat="1" applyFont="1" applyFill="1" applyBorder="1"/>
    <x:xf numFmtId="200" fontId="9" fillId="5" borderId="33" xfId="0" applyNumberFormat="1" applyFont="1" applyFill="1" applyBorder="1"/>
    <x:xf numFmtId="200" fontId="9" fillId="5" borderId="34" xfId="0" applyNumberFormat="1" applyFont="1" applyFill="1" applyBorder="1"/>
    <x:xf numFmtId="200" fontId="9" fillId="5" borderId="35" xfId="0" applyNumberFormat="1" applyFont="1" applyFill="1" applyBorder="1"/>
    <x:xf numFmtId="200" fontId="9" fillId="5" borderId="32" xfId="0" applyNumberFormat="1" applyFont="1" applyFill="1" applyBorder="1" applyAlignment="1">
      <x:alignment horizontal="center"/>
    </x:xf>
    <x:xf numFmtId="200" fontId="9" fillId="5" borderId="33" xfId="0" applyNumberFormat="1" applyFont="1" applyFill="1" applyBorder="1" applyAlignment="1">
      <x:alignment horizontal="center"/>
    </x:xf>
    <x:xf numFmtId="200" fontId="9" fillId="5" borderId="34" xfId="0" applyNumberFormat="1" applyFont="1" applyFill="1" applyBorder="1" applyAlignment="1">
      <x:alignment horizontal="center"/>
    </x:xf>
    <x:xf numFmtId="200" fontId="9" fillId="5" borderId="35" xfId="0" applyNumberFormat="1" applyFont="1" applyFill="1" applyBorder="1" applyAlignment="1">
      <x:alignment horizontal="center"/>
    </x:xf>
    <x:xf numFmtId="200" fontId="9" fillId="5" borderId="32" xfId="0" applyNumberFormat="1" applyFont="1" applyFill="1" applyBorder="1" applyAlignment="1">
      <x:alignment horizontal="center" vertical="center"/>
    </x:xf>
    <x:xf numFmtId="200" fontId="9" fillId="5" borderId="33" xfId="0" applyNumberFormat="1" applyFont="1" applyFill="1" applyBorder="1" applyAlignment="1">
      <x:alignment horizontal="center" vertical="center"/>
    </x:xf>
    <x:xf numFmtId="200" fontId="9" fillId="5" borderId="34" xfId="0" applyNumberFormat="1" applyFont="1" applyFill="1" applyBorder="1" applyAlignment="1">
      <x:alignment horizontal="center" vertical="center"/>
    </x:xf>
    <x:xf numFmtId="200" fontId="9" fillId="5" borderId="35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36" xfId="0" applyNumberFormat="1" applyFont="1" applyFill="1" applyBorder="1" applyAlignment="1">
      <x:alignment horizontal="center" wrapText="1"/>
    </x:xf>
    <x:xf numFmtId="0" fontId="0" fillId="0" borderId="36" xfId="0" applyNumberFormat="1" applyFont="1" applyFill="1" applyBorder="1"/>
    <x:xf numFmtId="202" fontId="0" fillId="0" borderId="36" xfId="0" applyNumberFormat="1" applyFont="1" applyFill="1" applyBorder="1"/>
    <x:xf numFmtId="200" fontId="0" fillId="0" borderId="36" xfId="0" applyNumberFormat="1" applyFont="1" applyFill="1" applyBorder="1"/>
    <x:xf numFmtId="0" fontId="2" fillId="3" borderId="36" xfId="0" applyNumberFormat="1" applyFont="1" applyFill="1" applyBorder="1"/>
    <x:xf numFmtId="0" fontId="2" fillId="3" borderId="36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wrapText="1"/>
    </x:xf>
    <x:xf numFmtId="0" fontId="2" fillId="3" borderId="36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25fd9a3be84696" /><Relationship Type="http://schemas.openxmlformats.org/officeDocument/2006/relationships/theme" Target="/xl/theme/theme1.xml" Id="R519e9694cbfd4afb" /><Relationship Type="http://schemas.microsoft.com/office/2022/11/relationships/FeaturePropertyBag" Target="/xl/featurePropertyBag/featurePropertyBag.xml" Id="Rc1873a879cf84a8a" /><Relationship Type="http://schemas.openxmlformats.org/officeDocument/2006/relationships/sharedStrings" Target="/xl/sharedStrings.xml" Id="R254d942930894cb1" /><Relationship Type="http://schemas.openxmlformats.org/officeDocument/2006/relationships/worksheet" Target="/xl/worksheets/sheet1.xml" Id="R35a569ee0cb34f9b" /><Relationship Type="http://schemas.openxmlformats.org/officeDocument/2006/relationships/worksheet" Target="/xl/worksheets/sheet2.xml" Id="R154520e477a54ad0" /><Relationship Type="http://schemas.openxmlformats.org/officeDocument/2006/relationships/worksheet" Target="/xl/worksheets/sheet3.xml" Id="R699d917fe3534e82" /><Relationship Type="http://schemas.openxmlformats.org/officeDocument/2006/relationships/worksheet" Target="/xl/worksheets/sheet4.xml" Id="R68f060970f5141d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c7a3cc522634564" /><Relationship Type="http://schemas.openxmlformats.org/officeDocument/2006/relationships/chart" Target="/xl/drawings/charts/chart2.xml" Id="Rcceccd1566f84ab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Trade size changes fallback behavior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ALLOW</c:v>
          </c:tx>
          <c:spPr>
            <a:solidFill xmlns:a="http://schemas.openxmlformats.org/drawingml/2006/main">
              <a:srgbClr val="10B981"/>
            </a:solidFill>
          </c:spPr>
          <c:cat>
            <c:strRef>
              <c:f>'Summary'!$A$9:$A$11</c:f>
              <c:strCache>
                <c:ptCount val="0"/>
              </c:strCache>
            </c:strRef>
          </c:cat>
          <c:val>
            <c:numRef>
              <c:f>'Summary'!$B$9:$B$11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FALLBACK</c:v>
          </c:tx>
          <c:spPr>
            <a:solidFill xmlns:a="http://schemas.openxmlformats.org/drawingml/2006/main">
              <a:srgbClr val="F59E0B"/>
            </a:solidFill>
          </c:spPr>
          <c:cat>
            <c:strRef>
              <c:f>'Summary'!$A$9:$A$11</c:f>
              <c:strCache>
                <c:ptCount val="0"/>
              </c:strCache>
            </c:strRef>
          </c:cat>
          <c:val>
            <c:numRef>
              <c:f>'Summary'!$C$9:$C$11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REJECT</c:v>
          </c:tx>
          <c:spPr>
            <a:solidFill xmlns:a="http://schemas.openxmlformats.org/drawingml/2006/main">
              <a:srgbClr val="EF4444"/>
            </a:solidFill>
          </c:spPr>
          <c:cat>
            <c:strRef>
              <c:f>'Summary'!$A$9:$A$11</c:f>
              <c:strCache>
                <c:ptCount val="0"/>
              </c:strCache>
            </c:strRef>
          </c:cat>
          <c:val>
            <c:numRef>
              <c:f>'Summary'!$D$9:$D$11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Input amount</a:t>
                </a:r>
              </a:p>
            </c:rich>
          </c:tx>
        </c:title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3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Routes</a:t>
                </a:r>
              </a:p>
            </c:rich>
          </c:tx>
        </c:title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TOXIC pools always reject at amount 100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ALLOW</c:v>
          </c:tx>
          <c:spPr>
            <a:solidFill xmlns:a="http://schemas.openxmlformats.org/drawingml/2006/main">
              <a:srgbClr val="10B981"/>
            </a:solidFill>
          </c:spPr>
          <c:cat>
            <c:strRef>
              <c:f>'Summary'!$F$9:$F$11</c:f>
              <c:strCache>
                <c:ptCount val="0"/>
              </c:strCache>
            </c:strRef>
          </c:cat>
          <c:val>
            <c:numRef>
              <c:f>'Summary'!$G$9:$G$11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FALLBACK</c:v>
          </c:tx>
          <c:spPr>
            <a:solidFill xmlns:a="http://schemas.openxmlformats.org/drawingml/2006/main">
              <a:srgbClr val="F59E0B"/>
            </a:solidFill>
          </c:spPr>
          <c:cat>
            <c:strRef>
              <c:f>'Summary'!$F$9:$F$11</c:f>
              <c:strCache>
                <c:ptCount val="0"/>
              </c:strCache>
            </c:strRef>
          </c:cat>
          <c:val>
            <c:numRef>
              <c:f>'Summary'!$H$9:$H$11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REJECT</c:v>
          </c:tx>
          <c:spPr>
            <a:solidFill xmlns:a="http://schemas.openxmlformats.org/drawingml/2006/main">
              <a:srgbClr val="EF4444"/>
            </a:solidFill>
          </c:spPr>
          <c:cat>
            <c:strRef>
              <c:f>'Summary'!$F$9:$F$11</c:f>
              <c:strCache>
                <c:ptCount val="0"/>
              </c:strCache>
            </c:strRef>
          </c:cat>
          <c:val>
            <c:numRef>
              <c:f>'Summary'!$I$9:$I$11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Pool type</a:t>
                </a:r>
              </a:p>
            </c:rich>
          </c:tx>
        </c:title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Routes</a:t>
                </a:r>
              </a:p>
            </c:rich>
          </c:tx>
        </c:title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7a3cc522634564"/>
        </a:graphicData>
      </a:graphic>
    </xdr:graphicFrame>
    <xdr:clientData/>
  </xdr:twoCellAnchor>
  <xdr:twoCellAnchor>
    <xdr:from>
      <xdr:col>8</xdr:col>
      <xdr:colOff>0</xdr:colOff>
      <xdr:row>13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eccd1566f84ab9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outeAnalysisTable" displayName="RouteAnalysisTable" ref="A1:V109" headerRowCount="1" totalsRowCount="0" totalsRowShown="0">
  <x:autoFilter ref="A1:V109"/>
  <x:tableColumns count="22">
    <x:tableColumn id="1" name="Amount In"/>
    <x:tableColumn id="2" name="Route ID"/>
    <x:tableColumn id="3" name="Token In"/>
    <x:tableColumn id="4" name="Token Out"/>
    <x:tableColumn id="5" name="Pool"/>
    <x:tableColumn id="6" name="Token In Price"/>
    <x:tableColumn id="7" name="Token Out Price"/>
    <x:tableColumn id="8" name="Reserve In"/>
    <x:tableColumn id="9" name="Reserve Out"/>
    <x:tableColumn id="10" name="Failure Rate"/>
    <x:tableColumn id="11" name="Base Pool Risk"/>
    <x:tableColumn id="12" name="Fallback Supported"/>
    <x:tableColumn id="13" name="Quoted Out"/>
    <x:tableColumn id="14" name="Expected Out"/>
    <x:tableColumn id="15" name="Quote Deviation"/>
    <x:tableColumn id="16" name="Price Impact (bps)"/>
    <x:tableColumn id="17" name="Pool Risk"/>
    <x:tableColumn id="18" name="Quote Score"/>
    <x:tableColumn id="19" name="Failure Score"/>
    <x:tableColumn id="20" name="Pool Score"/>
    <x:tableColumn id="21" name="Risk Score"/>
    <x:tableColumn id="22" name="Dec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5dda44734b44dd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233bac77e24c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9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4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34" customHeight="1">
      <x:c r="A1" s="53" t="str">
        <x:v>Sentinel Data Analysis Dashboard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</x:row>
    <x:row r="2">
      <x:c r="A2" s="55" t="str">
        <x:v>Synthetic 36-route scenario · Normal profile · Code-derived analysis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</x:row>
    <x:row r="4">
      <x:c r="A4" s="67" t="str">
        <x:v>Routes at amount 100</x:v>
      </x:c>
      <x:c r="B4" s="68" t="str">
        <x:v>Routes at amount 100</x:v>
      </x:c>
      <x:c r="D4" s="95" t="str">
        <x:v>ALLOW</x:v>
      </x:c>
      <x:c r="E4" s="96" t="str">
        <x:v>ALLOW</x:v>
      </x:c>
      <x:c r="G4" s="123" t="str">
        <x:v>FALLBACK</x:v>
      </x:c>
      <x:c r="H4" s="124" t="str">
        <x:v>FALLBACK</x:v>
      </x:c>
      <x:c r="J4" s="151" t="str">
        <x:v>REJECT</x:v>
      </x:c>
      <x:c r="K4" s="152" t="str">
        <x:v>REJECT</x:v>
      </x:c>
    </x:row>
    <x:row r="5">
      <x:c r="A5" s="81" t="n">
        <x:f>COUNTIF('Route Analysis'!$A$2:$A$109,100)</x:f>
        <x:v>36</x:v>
      </x:c>
      <x:c r="B5" s="82"/>
      <x:c r="D5" s="109" t="n">
        <x:f>COUNTIFS('Route Analysis'!$A$2:$A$109,100,'Route Analysis'!$V$2:$V$109,"ALLOW")</x:f>
        <x:v>6</x:v>
      </x:c>
      <x:c r="E5" s="110"/>
      <x:c r="G5" s="137" t="n">
        <x:f>COUNTIFS('Route Analysis'!$A$2:$A$109,100,'Route Analysis'!$V$2:$V$109,"FALLBACK")</x:f>
        <x:v>6</x:v>
      </x:c>
      <x:c r="H5" s="138"/>
      <x:c r="J5" s="165" t="n">
        <x:f>COUNTIFS('Route Analysis'!$A$2:$A$109,100,'Route Analysis'!$V$2:$V$109,"REJECT")</x:f>
        <x:v>24</x:v>
      </x:c>
      <x:c r="K5" s="166"/>
    </x:row>
    <x:row r="6">
      <x:c r="A6" s="83"/>
      <x:c r="B6" s="84"/>
      <x:c r="D6" s="111"/>
      <x:c r="E6" s="112"/>
      <x:c r="G6" s="139"/>
      <x:c r="H6" s="140"/>
      <x:c r="J6" s="167"/>
      <x:c r="K6" s="168"/>
    </x:row>
    <x:row r="8">
      <x:c r="A8" s="171" t="str">
        <x:v>Amount</x:v>
      </x:c>
      <x:c r="B8" s="171" t="str">
        <x:v>ALLOW</x:v>
      </x:c>
      <x:c r="C8" s="171" t="str">
        <x:v>FALLBACK</x:v>
      </x:c>
      <x:c r="D8" s="171" t="str">
        <x:v>REJECT</x:v>
      </x:c>
      <x:c r="F8" s="171" t="str">
        <x:v>Pool at amount 100</x:v>
      </x:c>
      <x:c r="G8" s="171" t="str">
        <x:v>ALLOW</x:v>
      </x:c>
      <x:c r="H8" s="171" t="str">
        <x:v>FALLBACK</x:v>
      </x:c>
      <x:c r="I8" s="171" t="str">
        <x:v>REJECT</x:v>
      </x:c>
      <x:c r="K8" s="171" t="str">
        <x:v>USDC → GOOD, amount 100</x:v>
      </x:c>
      <x:c r="L8" s="171" t="str">
        <x:v>Quoted Out</x:v>
      </x:c>
      <x:c r="M8" s="171" t="str">
        <x:v>Impact (bps)</x:v>
      </x:c>
      <x:c r="N8" s="171" t="str">
        <x:v>Pool Risk</x:v>
      </x:c>
      <x:c r="O8" s="171" t="str">
        <x:v>Risk Score</x:v>
      </x:c>
      <x:c r="P8" s="171" t="str">
        <x:v>Decision</x:v>
      </x:c>
    </x:row>
    <x:row r="9">
      <x:c r="A9" s="172" t="n">
        <x:v>1</x:v>
      </x:c>
      <x:c r="B9" s="172" t="n">
        <x:f>COUNTIFS('Route Analysis'!$A$2:$A$109,$A9,'Route Analysis'!$V$2:$V$109,B$8)</x:f>
        <x:v>12</x:v>
      </x:c>
      <x:c r="C9" s="172" t="n">
        <x:f>COUNTIFS('Route Analysis'!$A$2:$A$109,$A9,'Route Analysis'!$V$2:$V$109,C$8)</x:f>
        <x:v>0</x:v>
      </x:c>
      <x:c r="D9" s="172" t="n">
        <x:f>COUNTIFS('Route Analysis'!$A$2:$A$109,$A9,'Route Analysis'!$V$2:$V$109,D$8)</x:f>
        <x:v>24</x:v>
      </x:c>
      <x:c r="F9" s="172" t="str">
        <x:v>SAFE</x:v>
      </x:c>
      <x:c r="G9" s="172" t="n">
        <x:f>COUNTIFS('Route Analysis'!$A$2:$A$109,100,'Route Analysis'!$E$2:$E$109,$F9,'Route Analysis'!$V$2:$V$109,G$8)</x:f>
        <x:v>6</x:v>
      </x:c>
      <x:c r="H9" s="172" t="n">
        <x:f>COUNTIFS('Route Analysis'!$A$2:$A$109,100,'Route Analysis'!$E$2:$E$109,$F9,'Route Analysis'!$V$2:$V$109,H$8)</x:f>
        <x:v>0</x:v>
      </x:c>
      <x:c r="I9" s="172" t="n">
        <x:f>COUNTIFS('Route Analysis'!$A$2:$A$109,100,'Route Analysis'!$E$2:$E$109,$F9,'Route Analysis'!$V$2:$V$109,I$8)</x:f>
        <x:v>6</x:v>
      </x:c>
      <x:c r="K9" s="172" t="str">
        <x:v>SAFE</x:v>
      </x:c>
      <x:c r="L9" s="173" t="n">
        <x:f>'Route Analysis'!M74</x:f>
        <x:v>4.9845030450464085</x:v>
      </x:c>
      <x:c r="M9" s="174" t="n">
        <x:f>'Route Analysis'!P74</x:f>
        <x:v>30</x:v>
      </x:c>
      <x:c r="N9" s="174" t="n">
        <x:f>'Route Analysis'!Q74</x:f>
        <x:v>15</x:v>
      </x:c>
      <x:c r="O9" s="174" t="n">
        <x:f>'Route Analysis'!U74</x:f>
        <x:v>0</x:v>
      </x:c>
      <x:c r="P9" s="172" t="str">
        <x:f>'Route Analysis'!V74</x:f>
        <x:v>ALLOW</x:v>
      </x:c>
    </x:row>
    <x:row r="10">
      <x:c r="A10" s="172" t="n">
        <x:v>10</x:v>
      </x:c>
      <x:c r="B10" s="172" t="n">
        <x:f>COUNTIFS('Route Analysis'!$A$2:$A$109,$A10,'Route Analysis'!$V$2:$V$109,B$8)</x:f>
        <x:v>12</x:v>
      </x:c>
      <x:c r="C10" s="172" t="n">
        <x:f>COUNTIFS('Route Analysis'!$A$2:$A$109,$A10,'Route Analysis'!$V$2:$V$109,C$8)</x:f>
        <x:v>0</x:v>
      </x:c>
      <x:c r="D10" s="172" t="n">
        <x:f>COUNTIFS('Route Analysis'!$A$2:$A$109,$A10,'Route Analysis'!$V$2:$V$109,D$8)</x:f>
        <x:v>24</x:v>
      </x:c>
      <x:c r="F10" s="172" t="str">
        <x:v>SHALLOW</x:v>
      </x:c>
      <x:c r="G10" s="172" t="n">
        <x:f>COUNTIFS('Route Analysis'!$A$2:$A$109,100,'Route Analysis'!$E$2:$E$109,$F10,'Route Analysis'!$V$2:$V$109,G$8)</x:f>
        <x:v>0</x:v>
      </x:c>
      <x:c r="H10" s="172" t="n">
        <x:f>COUNTIFS('Route Analysis'!$A$2:$A$109,100,'Route Analysis'!$E$2:$E$109,$F10,'Route Analysis'!$V$2:$V$109,H$8)</x:f>
        <x:v>6</x:v>
      </x:c>
      <x:c r="I10" s="172" t="n">
        <x:f>COUNTIFS('Route Analysis'!$A$2:$A$109,100,'Route Analysis'!$E$2:$E$109,$F10,'Route Analysis'!$V$2:$V$109,I$8)</x:f>
        <x:v>6</x:v>
      </x:c>
      <x:c r="K10" s="172" t="str">
        <x:v>SHALLOW</x:v>
      </x:c>
      <x:c r="L10" s="173" t="n">
        <x:f>'Route Analysis'!M75</x:f>
        <x:v>4.156244789061197</x:v>
      </x:c>
      <x:c r="M10" s="174" t="n">
        <x:f>'Route Analysis'!P75</x:f>
        <x:v>1687</x:v>
      </x:c>
      <x:c r="N10" s="174" t="n">
        <x:f>'Route Analysis'!Q75</x:f>
        <x:v>72</x:v>
      </x:c>
      <x:c r="O10" s="174" t="n">
        <x:f>'Route Analysis'!U75</x:f>
        <x:v>69</x:v>
      </x:c>
      <x:c r="P10" s="172" t="str">
        <x:f>'Route Analysis'!V75</x:f>
        <x:v>FALLBACK</x:v>
      </x:c>
    </x:row>
    <x:row r="11">
      <x:c r="A11" s="172" t="n">
        <x:v>100</x:v>
      </x:c>
      <x:c r="B11" s="172" t="n">
        <x:f>COUNTIFS('Route Analysis'!$A$2:$A$109,$A11,'Route Analysis'!$V$2:$V$109,B$8)</x:f>
        <x:v>6</x:v>
      </x:c>
      <x:c r="C11" s="172" t="n">
        <x:f>COUNTIFS('Route Analysis'!$A$2:$A$109,$A11,'Route Analysis'!$V$2:$V$109,C$8)</x:f>
        <x:v>6</x:v>
      </x:c>
      <x:c r="D11" s="172" t="n">
        <x:f>COUNTIFS('Route Analysis'!$A$2:$A$109,$A11,'Route Analysis'!$V$2:$V$109,D$8)</x:f>
        <x:v>24</x:v>
      </x:c>
      <x:c r="F11" s="172" t="str">
        <x:v>TOXIC</x:v>
      </x:c>
      <x:c r="G11" s="172" t="n">
        <x:f>COUNTIFS('Route Analysis'!$A$2:$A$109,100,'Route Analysis'!$E$2:$E$109,$F11,'Route Analysis'!$V$2:$V$109,G$8)</x:f>
        <x:v>0</x:v>
      </x:c>
      <x:c r="H11" s="172" t="n">
        <x:f>COUNTIFS('Route Analysis'!$A$2:$A$109,100,'Route Analysis'!$E$2:$E$109,$F11,'Route Analysis'!$V$2:$V$109,H$8)</x:f>
        <x:v>0</x:v>
      </x:c>
      <x:c r="I11" s="172" t="n">
        <x:f>COUNTIFS('Route Analysis'!$A$2:$A$109,100,'Route Analysis'!$E$2:$E$109,$F11,'Route Analysis'!$V$2:$V$109,I$8)</x:f>
        <x:v>12</x:v>
      </x:c>
      <x:c r="K11" s="172" t="str">
        <x:v>TOXIC</x:v>
      </x:c>
      <x:c r="L11" s="173" t="n">
        <x:f>'Route Analysis'!M76</x:f>
        <x:v>6.2157572251163975</x:v>
      </x:c>
      <x:c r="M11" s="174" t="n">
        <x:f>'Route Analysis'!P76</x:f>
        <x:v>54</x:v>
      </x:c>
      <x:c r="N11" s="174" t="n">
        <x:f>'Route Analysis'!Q76</x:f>
        <x:v>88</x:v>
      </x:c>
      <x:c r="O11" s="174" t="n">
        <x:f>'Route Analysis'!U76</x:f>
        <x:v>94</x:v>
      </x:c>
      <x:c r="P11" s="172" t="str">
        <x:f>'Route Analysis'!V76</x:f>
        <x:v>REJECT</x:v>
      </x:c>
    </x:row>
  </x:sheetData>
  <x:mergeCells>
    <x:mergeCell ref="A1:P1"/>
    <x:mergeCell ref="A2:P2"/>
    <x:mergeCell ref="A4:B4"/>
    <x:mergeCell ref="A5:B6"/>
    <x:mergeCell ref="D4:E4"/>
    <x:mergeCell ref="D5:E6"/>
    <x:mergeCell ref="G4:H4"/>
    <x:mergeCell ref="G5:H6"/>
    <x:mergeCell ref="J4:K4"/>
    <x:mergeCell ref="J5:K6"/>
  </x:mergeCells>
  <x:pageMargins left="0.7" right="0.7" top="0.75" bottom="0.75" header="0.3" footer="0.3"/>
  <x:drawing xmlns:r="http://schemas.openxmlformats.org/officeDocument/2006/relationships" r:id="R95dda44734b44dd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1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3" hidden="0" customWidth="1"/>
  </x:cols>
  <x:sheetData>
    <x:row r="1" ht="34" customHeight="1">
      <x:c r="A1" s="30" t="str">
        <x:v>Amount In</x:v>
      </x:c>
      <x:c r="B1" s="30" t="str">
        <x:v>Route ID</x:v>
      </x:c>
      <x:c r="C1" s="30" t="str">
        <x:v>Token In</x:v>
      </x:c>
      <x:c r="D1" s="30" t="str">
        <x:v>Token Out</x:v>
      </x:c>
      <x:c r="E1" s="30" t="str">
        <x:v>Pool</x:v>
      </x:c>
      <x:c r="F1" s="30" t="str">
        <x:v>Token In Price</x:v>
      </x:c>
      <x:c r="G1" s="30" t="str">
        <x:v>Token Out Price</x:v>
      </x:c>
      <x:c r="H1" s="30" t="str">
        <x:v>Reserve In</x:v>
      </x:c>
      <x:c r="I1" s="30" t="str">
        <x:v>Reserve Out</x:v>
      </x:c>
      <x:c r="J1" s="30" t="str">
        <x:v>Failure Rate</x:v>
      </x:c>
      <x:c r="K1" s="30" t="str">
        <x:v>Base Pool Risk</x:v>
      </x:c>
      <x:c r="L1" s="30" t="str">
        <x:v>Fallback Supported</x:v>
      </x:c>
      <x:c r="M1" s="30" t="str">
        <x:v>Quoted Out</x:v>
      </x:c>
      <x:c r="N1" s="30" t="str">
        <x:v>Expected Out</x:v>
      </x:c>
      <x:c r="O1" s="30" t="str">
        <x:v>Quote Deviation</x:v>
      </x:c>
      <x:c r="P1" s="30" t="str">
        <x:v>Price Impact (bps)</x:v>
      </x:c>
      <x:c r="Q1" s="30" t="str">
        <x:v>Pool Risk</x:v>
      </x:c>
      <x:c r="R1" s="30" t="str">
        <x:v>Quote Score</x:v>
      </x:c>
      <x:c r="S1" s="30" t="str">
        <x:v>Failure Score</x:v>
      </x:c>
      <x:c r="T1" s="30" t="str">
        <x:v>Pool Score</x:v>
      </x:c>
      <x:c r="U1" s="30" t="str">
        <x:v>Risk Score</x:v>
      </x:c>
      <x:c r="V1" s="30" t="str">
        <x:v>Decision</x:v>
      </x:c>
    </x:row>
    <x:row r="2">
      <x:c r="A2" s="41" t="n">
        <x:v>1</x:v>
      </x:c>
      <x:c r="B2" s="41" t="str">
        <x:v>route-usdc-good-safe</x:v>
      </x:c>
      <x:c r="C2" s="41" t="str">
        <x:v>USDC</x:v>
      </x:c>
      <x:c r="D2" s="41" t="str">
        <x:v>GOOD</x:v>
      </x:c>
      <x:c r="E2" s="41" t="str">
        <x:v>SAFE</x:v>
      </x:c>
      <x:c r="F2" s="42" t="n">
        <x:v>1</x:v>
      </x:c>
      <x:c r="G2" s="42" t="n">
        <x:v>20</x:v>
      </x:c>
      <x:c r="H2" s="42" t="n">
        <x:v>1000000</x:v>
      </x:c>
      <x:c r="I2" s="42" t="n">
        <x:v>50000</x:v>
      </x:c>
      <x:c r="J2" s="43" t="n">
        <x:v>0.02</x:v>
      </x:c>
      <x:c r="K2" s="41" t="n">
        <x:v>12</x:v>
      </x:c>
      <x:c r="L2" s="44" t="b">
        <x:v>0</x:v>
      </x:c>
      <x:c r="M2" s="42" t="n">
        <x:f>(A2*997*I2)/(H2*1000+A2*997)</x:f>
        <x:v>0.04984995029959955</x:v>
      </x:c>
      <x:c r="N2" s="42" t="n">
        <x:f>(A2*997*(1000000*F2/G2))/(1000000*1000+A2*997)</x:f>
        <x:v>0.04984995029959955</x:v>
      </x:c>
      <x:c r="O2" s="43" t="n">
        <x:f>ABS(M2-N2)/N2</x:f>
        <x:v>0</x:v>
      </x:c>
      <x:c r="P2" s="45" t="n">
        <x:f>IF((A2*I2/H2)&lt;=M2,0,INT((((A2*I2/H2)-M2)*10000)/(A2*I2/H2)))</x:f>
        <x:v>30</x:v>
      </x:c>
      <x:c r="Q2" s="45" t="n">
        <x:f>IF(E2="SAFE",MIN(20,K2+ROUND(P2/10,0)),IF(E2="SHALLOW",MIN(75,K2+ROUND(P2/100,0)),MIN(95,K2)))</x:f>
        <x:v>15</x:v>
      </x:c>
      <x:c r="R2" s="45" t="n">
        <x:f>IF(O2&gt;'Assumptions'!$B$11,MIN(35,ROUND(O2*500,0)),0)</x:f>
        <x:v>0</x:v>
      </x:c>
      <x:c r="S2" s="45" t="n">
        <x:f>IF(J2&gt;'Assumptions'!$B$12,MIN(30,ROUND((J2-'Assumptions'!$B$12)*200,0)),0)</x:f>
        <x:v>0</x:v>
      </x:c>
      <x:c r="T2" s="45" t="n">
        <x:f>IF(Q2&gt;'Assumptions'!$B$13,ROUND(Q2/3,0),0)</x:f>
        <x:v>0</x:v>
      </x:c>
      <x:c r="U2" s="45" t="n">
        <x:f>IF(OR(D2="BAD",D2="BAIT"),100,MIN(100,R2+S2+T2))</x:f>
        <x:v>0</x:v>
      </x:c>
      <x:c r="V2" s="41" t="str">
        <x:f>IF(OR(D2="BAD",D2="BAIT"),"REJECT",IF(U2&gt;='Assumptions'!$B$15,"REJECT",IF(AND(U2&gt;='Assumptions'!$B$14,L2=TRUE),"FALLBACK","ALLOW")))</x:f>
        <x:v>ALLOW</x:v>
      </x:c>
    </x:row>
    <x:row r="3">
      <x:c r="A3" s="41" t="n">
        <x:v>1</x:v>
      </x:c>
      <x:c r="B3" s="41" t="str">
        <x:v>route-usdc-good-shallow</x:v>
      </x:c>
      <x:c r="C3" s="41" t="str">
        <x:v>USDC</x:v>
      </x:c>
      <x:c r="D3" s="41" t="str">
        <x:v>GOOD</x:v>
      </x:c>
      <x:c r="E3" s="41" t="str">
        <x:v>SHALLOW</x:v>
      </x:c>
      <x:c r="F3" s="42" t="n">
        <x:v>1</x:v>
      </x:c>
      <x:c r="G3" s="42" t="n">
        <x:v>20</x:v>
      </x:c>
      <x:c r="H3" s="42" t="n">
        <x:v>500</x:v>
      </x:c>
      <x:c r="I3" s="42" t="n">
        <x:v>25</x:v>
      </x:c>
      <x:c r="J3" s="43" t="n">
        <x:v>0.25</x:v>
      </x:c>
      <x:c r="K3" s="41" t="n">
        <x:v>55</x:v>
      </x:c>
      <x:c r="L3" s="44" t="b">
        <x:v>1</x:v>
      </x:c>
      <x:c r="M3" s="42" t="n">
        <x:f>(A3*997*I3)/(H3*1000+A3*997)</x:f>
        <x:v>0.049750796910959544</x:v>
      </x:c>
      <x:c r="N3" s="42" t="n">
        <x:f>(A3*997*(1000000*F3/G3))/(1000000*1000+A3*997)</x:f>
        <x:v>0.04984995029959955</x:v>
      </x:c>
      <x:c r="O3" s="43" t="n">
        <x:f>ABS(M3-N3)/N3</x:f>
        <x:v>0.0019890368605002045</x:v>
      </x:c>
      <x:c r="P3" s="45" t="n">
        <x:f>IF((A3*I3/H3)&lt;=M3,0,INT((((A3*I3/H3)-M3)*10000)/(A3*I3/H3)))</x:f>
        <x:v>49</x:v>
      </x:c>
      <x:c r="Q3" s="45" t="n">
        <x:f>IF(E3="SAFE",MIN(20,K3+ROUND(P3/10,0)),IF(E3="SHALLOW",MIN(75,K3+ROUND(P3/100,0)),MIN(95,K3)))</x:f>
        <x:v>55</x:v>
      </x:c>
      <x:c r="R3" s="45" t="n">
        <x:f>IF(O3&gt;'Assumptions'!$B$11,MIN(35,ROUND(O3*500,0)),0)</x:f>
        <x:v>0</x:v>
      </x:c>
      <x:c r="S3" s="45" t="n">
        <x:f>IF(J3&gt;'Assumptions'!$B$12,MIN(30,ROUND((J3-'Assumptions'!$B$12)*200,0)),0)</x:f>
        <x:v>10</x:v>
      </x:c>
      <x:c r="T3" s="45" t="n">
        <x:f>IF(Q3&gt;'Assumptions'!$B$13,ROUND(Q3/3,0),0)</x:f>
        <x:v>0</x:v>
      </x:c>
      <x:c r="U3" s="45" t="n">
        <x:f>IF(OR(D3="BAD",D3="BAIT"),100,MIN(100,R3+S3+T3))</x:f>
        <x:v>10</x:v>
      </x:c>
      <x:c r="V3" s="41" t="str">
        <x:f>IF(OR(D3="BAD",D3="BAIT"),"REJECT",IF(U3&gt;='Assumptions'!$B$15,"REJECT",IF(AND(U3&gt;='Assumptions'!$B$14,L3=TRUE),"FALLBACK","ALLOW")))</x:f>
        <x:v>ALLOW</x:v>
      </x:c>
    </x:row>
    <x:row r="4">
      <x:c r="A4" s="41" t="n">
        <x:v>1</x:v>
      </x:c>
      <x:c r="B4" s="41" t="str">
        <x:v>route-usdc-good-toxic</x:v>
      </x:c>
      <x:c r="C4" s="41" t="str">
        <x:v>USDC</x:v>
      </x:c>
      <x:c r="D4" s="41" t="str">
        <x:v>GOOD</x:v>
      </x:c>
      <x:c r="E4" s="41" t="str">
        <x:v>TOXIC</x:v>
      </x:c>
      <x:c r="F4" s="42" t="n">
        <x:v>1</x:v>
      </x:c>
      <x:c r="G4" s="42" t="n">
        <x:v>20</x:v>
      </x:c>
      <x:c r="H4" s="42" t="n">
        <x:v>40000</x:v>
      </x:c>
      <x:c r="I4" s="42" t="n">
        <x:v>2500</x:v>
      </x:c>
      <x:c r="J4" s="43" t="n">
        <x:v>0.35</x:v>
      </x:c>
      <x:c r="K4" s="41" t="n">
        <x:v>88</x:v>
      </x:c>
      <x:c r="L4" s="44" t="b">
        <x:v>1</x:v>
      </x:c>
      <x:c r="M4" s="42" t="n">
        <x:f>(A4*997*I4)/(H4*1000+A4*997)</x:f>
        <x:v>0.06231094689964853</x:v>
      </x:c>
      <x:c r="N4" s="42" t="n">
        <x:f>(A4*997*(1000000*F4/G4))/(1000000*1000+A4*997)</x:f>
        <x:v>0.04984995029959955</x:v>
      </x:c>
      <x:c r="O4" s="43" t="n">
        <x:f>ABS(M4-N4)/N4</x:f>
        <x:v>0.24997009074548823</x:v>
      </x:c>
      <x:c r="P4" s="45" t="n">
        <x:f>IF((A4*I4/H4)&lt;=M4,0,INT((((A4*I4/H4)-M4)*10000)/(A4*I4/H4)))</x:f>
        <x:v>30</x:v>
      </x:c>
      <x:c r="Q4" s="45" t="n">
        <x:f>IF(E4="SAFE",MIN(20,K4+ROUND(P4/10,0)),IF(E4="SHALLOW",MIN(75,K4+ROUND(P4/100,0)),MIN(95,K4)))</x:f>
        <x:v>88</x:v>
      </x:c>
      <x:c r="R4" s="45" t="n">
        <x:f>IF(O4&gt;'Assumptions'!$B$11,MIN(35,ROUND(O4*500,0)),0)</x:f>
        <x:v>35</x:v>
      </x:c>
      <x:c r="S4" s="45" t="n">
        <x:f>IF(J4&gt;'Assumptions'!$B$12,MIN(30,ROUND((J4-'Assumptions'!$B$12)*200,0)),0)</x:f>
        <x:v>30</x:v>
      </x:c>
      <x:c r="T4" s="45" t="n">
        <x:f>IF(Q4&gt;'Assumptions'!$B$13,ROUND(Q4/3,0),0)</x:f>
        <x:v>29</x:v>
      </x:c>
      <x:c r="U4" s="45" t="n">
        <x:f>IF(OR(D4="BAD",D4="BAIT"),100,MIN(100,R4+S4+T4))</x:f>
        <x:v>94</x:v>
      </x:c>
      <x:c r="V4" s="41" t="str">
        <x:f>IF(OR(D4="BAD",D4="BAIT"),"REJECT",IF(U4&gt;='Assumptions'!$B$15,"REJECT",IF(AND(U4&gt;='Assumptions'!$B$14,L4=TRUE),"FALLBACK","ALLOW")))</x:f>
        <x:v>REJECT</x:v>
      </x:c>
    </x:row>
    <x:row r="5">
      <x:c r="A5" s="41" t="n">
        <x:v>1</x:v>
      </x:c>
      <x:c r="B5" s="41" t="str">
        <x:v>route-usdc-bad-safe</x:v>
      </x:c>
      <x:c r="C5" s="41" t="str">
        <x:v>USDC</x:v>
      </x:c>
      <x:c r="D5" s="41" t="str">
        <x:v>BAD</x:v>
      </x:c>
      <x:c r="E5" s="41" t="str">
        <x:v>SAFE</x:v>
      </x:c>
      <x:c r="F5" s="42" t="n">
        <x:v>1</x:v>
      </x:c>
      <x:c r="G5" s="42" t="n">
        <x:v>100</x:v>
      </x:c>
      <x:c r="H5" s="42" t="n">
        <x:v>1000000</x:v>
      </x:c>
      <x:c r="I5" s="42" t="n">
        <x:v>10000</x:v>
      </x:c>
      <x:c r="J5" s="43" t="n">
        <x:v>0.02</x:v>
      </x:c>
      <x:c r="K5" s="41" t="n">
        <x:v>12</x:v>
      </x:c>
      <x:c r="L5" s="44" t="b">
        <x:v>0</x:v>
      </x:c>
      <x:c r="M5" s="42" t="n">
        <x:f>(A5*997*I5)/(H5*1000+A5*997)</x:f>
        <x:v>0.00996999005991991</x:v>
      </x:c>
      <x:c r="N5" s="42" t="n">
        <x:f>(A5*997*(1000000*F5/G5))/(1000000*1000+A5*997)</x:f>
        <x:v>0.00996999005991991</x:v>
      </x:c>
      <x:c r="O5" s="43" t="n">
        <x:f>ABS(M5-N5)/N5</x:f>
        <x:v>0</x:v>
      </x:c>
      <x:c r="P5" s="45" t="n">
        <x:f>IF((A5*I5/H5)&lt;=M5,0,INT((((A5*I5/H5)-M5)*10000)/(A5*I5/H5)))</x:f>
        <x:v>30</x:v>
      </x:c>
      <x:c r="Q5" s="45" t="n">
        <x:f>IF(E5="SAFE",MIN(20,K5+ROUND(P5/10,0)),IF(E5="SHALLOW",MIN(75,K5+ROUND(P5/100,0)),MIN(95,K5)))</x:f>
        <x:v>15</x:v>
      </x:c>
      <x:c r="R5" s="45" t="n">
        <x:f>IF(O5&gt;'Assumptions'!$B$11,MIN(35,ROUND(O5*500,0)),0)</x:f>
        <x:v>0</x:v>
      </x:c>
      <x:c r="S5" s="45" t="n">
        <x:f>IF(J5&gt;'Assumptions'!$B$12,MIN(30,ROUND((J5-'Assumptions'!$B$12)*200,0)),0)</x:f>
        <x:v>0</x:v>
      </x:c>
      <x:c r="T5" s="45" t="n">
        <x:f>IF(Q5&gt;'Assumptions'!$B$13,ROUND(Q5/3,0),0)</x:f>
        <x:v>0</x:v>
      </x:c>
      <x:c r="U5" s="45" t="n">
        <x:f>IF(OR(D5="BAD",D5="BAIT"),100,MIN(100,R5+S5+T5))</x:f>
        <x:v>100</x:v>
      </x:c>
      <x:c r="V5" s="41" t="str">
        <x:f>IF(OR(D5="BAD",D5="BAIT"),"REJECT",IF(U5&gt;='Assumptions'!$B$15,"REJECT",IF(AND(U5&gt;='Assumptions'!$B$14,L5=TRUE),"FALLBACK","ALLOW")))</x:f>
        <x:v>REJECT</x:v>
      </x:c>
    </x:row>
    <x:row r="6">
      <x:c r="A6" s="41" t="n">
        <x:v>1</x:v>
      </x:c>
      <x:c r="B6" s="41" t="str">
        <x:v>route-usdc-bad-shallow</x:v>
      </x:c>
      <x:c r="C6" s="41" t="str">
        <x:v>USDC</x:v>
      </x:c>
      <x:c r="D6" s="41" t="str">
        <x:v>BAD</x:v>
      </x:c>
      <x:c r="E6" s="41" t="str">
        <x:v>SHALLOW</x:v>
      </x:c>
      <x:c r="F6" s="42" t="n">
        <x:v>1</x:v>
      </x:c>
      <x:c r="G6" s="42" t="n">
        <x:v>100</x:v>
      </x:c>
      <x:c r="H6" s="42" t="n">
        <x:v>500</x:v>
      </x:c>
      <x:c r="I6" s="42" t="n">
        <x:v>5</x:v>
      </x:c>
      <x:c r="J6" s="43" t="n">
        <x:v>0.25</x:v>
      </x:c>
      <x:c r="K6" s="41" t="n">
        <x:v>55</x:v>
      </x:c>
      <x:c r="L6" s="44" t="b">
        <x:v>1</x:v>
      </x:c>
      <x:c r="M6" s="42" t="n">
        <x:f>(A6*997*I6)/(H6*1000+A6*997)</x:f>
        <x:v>0.00995015938219191</x:v>
      </x:c>
      <x:c r="N6" s="42" t="n">
        <x:f>(A6*997*(1000000*F6/G6))/(1000000*1000+A6*997)</x:f>
        <x:v>0.00996999005991991</x:v>
      </x:c>
      <x:c r="O6" s="43" t="n">
        <x:f>ABS(M6-N6)/N6</x:f>
        <x:v>0.0019890368605001347</x:v>
      </x:c>
      <x:c r="P6" s="45" t="n">
        <x:f>IF((A6*I6/H6)&lt;=M6,0,INT((((A6*I6/H6)-M6)*10000)/(A6*I6/H6)))</x:f>
        <x:v>49</x:v>
      </x:c>
      <x:c r="Q6" s="45" t="n">
        <x:f>IF(E6="SAFE",MIN(20,K6+ROUND(P6/10,0)),IF(E6="SHALLOW",MIN(75,K6+ROUND(P6/100,0)),MIN(95,K6)))</x:f>
        <x:v>55</x:v>
      </x:c>
      <x:c r="R6" s="45" t="n">
        <x:f>IF(O6&gt;'Assumptions'!$B$11,MIN(35,ROUND(O6*500,0)),0)</x:f>
        <x:v>0</x:v>
      </x:c>
      <x:c r="S6" s="45" t="n">
        <x:f>IF(J6&gt;'Assumptions'!$B$12,MIN(30,ROUND((J6-'Assumptions'!$B$12)*200,0)),0)</x:f>
        <x:v>10</x:v>
      </x:c>
      <x:c r="T6" s="45" t="n">
        <x:f>IF(Q6&gt;'Assumptions'!$B$13,ROUND(Q6/3,0),0)</x:f>
        <x:v>0</x:v>
      </x:c>
      <x:c r="U6" s="45" t="n">
        <x:f>IF(OR(D6="BAD",D6="BAIT"),100,MIN(100,R6+S6+T6))</x:f>
        <x:v>100</x:v>
      </x:c>
      <x:c r="V6" s="41" t="str">
        <x:f>IF(OR(D6="BAD",D6="BAIT"),"REJECT",IF(U6&gt;='Assumptions'!$B$15,"REJECT",IF(AND(U6&gt;='Assumptions'!$B$14,L6=TRUE),"FALLBACK","ALLOW")))</x:f>
        <x:v>REJECT</x:v>
      </x:c>
    </x:row>
    <x:row r="7">
      <x:c r="A7" s="41" t="n">
        <x:v>1</x:v>
      </x:c>
      <x:c r="B7" s="41" t="str">
        <x:v>route-usdc-bad-toxic</x:v>
      </x:c>
      <x:c r="C7" s="41" t="str">
        <x:v>USDC</x:v>
      </x:c>
      <x:c r="D7" s="41" t="str">
        <x:v>BAD</x:v>
      </x:c>
      <x:c r="E7" s="41" t="str">
        <x:v>TOXIC</x:v>
      </x:c>
      <x:c r="F7" s="42" t="n">
        <x:v>1</x:v>
      </x:c>
      <x:c r="G7" s="42" t="n">
        <x:v>100</x:v>
      </x:c>
      <x:c r="H7" s="42" t="n">
        <x:v>40000</x:v>
      </x:c>
      <x:c r="I7" s="42" t="n">
        <x:v>500</x:v>
      </x:c>
      <x:c r="J7" s="43" t="n">
        <x:v>0.35</x:v>
      </x:c>
      <x:c r="K7" s="41" t="n">
        <x:v>88</x:v>
      </x:c>
      <x:c r="L7" s="44" t="b">
        <x:v>1</x:v>
      </x:c>
      <x:c r="M7" s="42" t="n">
        <x:f>(A7*997*I7)/(H7*1000+A7*997)</x:f>
        <x:v>0.012462189379929706</x:v>
      </x:c>
      <x:c r="N7" s="42" t="n">
        <x:f>(A7*997*(1000000*F7/G7))/(1000000*1000+A7*997)</x:f>
        <x:v>0.00996999005991991</x:v>
      </x:c>
      <x:c r="O7" s="43" t="n">
        <x:f>ABS(M7-N7)/N7</x:f>
        <x:v>0.24997009074548818</x:v>
      </x:c>
      <x:c r="P7" s="45" t="n">
        <x:f>IF((A7*I7/H7)&lt;=M7,0,INT((((A7*I7/H7)-M7)*10000)/(A7*I7/H7)))</x:f>
        <x:v>30</x:v>
      </x:c>
      <x:c r="Q7" s="45" t="n">
        <x:f>IF(E7="SAFE",MIN(20,K7+ROUND(P7/10,0)),IF(E7="SHALLOW",MIN(75,K7+ROUND(P7/100,0)),MIN(95,K7)))</x:f>
        <x:v>88</x:v>
      </x:c>
      <x:c r="R7" s="45" t="n">
        <x:f>IF(O7&gt;'Assumptions'!$B$11,MIN(35,ROUND(O7*500,0)),0)</x:f>
        <x:v>35</x:v>
      </x:c>
      <x:c r="S7" s="45" t="n">
        <x:f>IF(J7&gt;'Assumptions'!$B$12,MIN(30,ROUND((J7-'Assumptions'!$B$12)*200,0)),0)</x:f>
        <x:v>30</x:v>
      </x:c>
      <x:c r="T7" s="45" t="n">
        <x:f>IF(Q7&gt;'Assumptions'!$B$13,ROUND(Q7/3,0),0)</x:f>
        <x:v>29</x:v>
      </x:c>
      <x:c r="U7" s="45" t="n">
        <x:f>IF(OR(D7="BAD",D7="BAIT"),100,MIN(100,R7+S7+T7))</x:f>
        <x:v>100</x:v>
      </x:c>
      <x:c r="V7" s="41" t="str">
        <x:f>IF(OR(D7="BAD",D7="BAIT"),"REJECT",IF(U7&gt;='Assumptions'!$B$15,"REJECT",IF(AND(U7&gt;='Assumptions'!$B$14,L7=TRUE),"FALLBACK","ALLOW")))</x:f>
        <x:v>REJECT</x:v>
      </x:c>
    </x:row>
    <x:row r="8">
      <x:c r="A8" s="41" t="n">
        <x:v>1</x:v>
      </x:c>
      <x:c r="B8" s="41" t="str">
        <x:v>route-usdc-bait-safe</x:v>
      </x:c>
      <x:c r="C8" s="41" t="str">
        <x:v>USDC</x:v>
      </x:c>
      <x:c r="D8" s="41" t="str">
        <x:v>BAIT</x:v>
      </x:c>
      <x:c r="E8" s="41" t="str">
        <x:v>SAFE</x:v>
      </x:c>
      <x:c r="F8" s="42" t="n">
        <x:v>1</x:v>
      </x:c>
      <x:c r="G8" s="42" t="n">
        <x:v>1</x:v>
      </x:c>
      <x:c r="H8" s="42" t="n">
        <x:v>1000000</x:v>
      </x:c>
      <x:c r="I8" s="42" t="n">
        <x:v>1000000</x:v>
      </x:c>
      <x:c r="J8" s="43" t="n">
        <x:v>0.02</x:v>
      </x:c>
      <x:c r="K8" s="41" t="n">
        <x:v>12</x:v>
      </x:c>
      <x:c r="L8" s="44" t="b">
        <x:v>0</x:v>
      </x:c>
      <x:c r="M8" s="42" t="n">
        <x:f>(A8*997*I8)/(H8*1000+A8*997)</x:f>
        <x:v>0.996999005991991</x:v>
      </x:c>
      <x:c r="N8" s="42" t="n">
        <x:f>(A8*997*(1000000*F8/G8))/(1000000*1000+A8*997)</x:f>
        <x:v>0.996999005991991</x:v>
      </x:c>
      <x:c r="O8" s="43" t="n">
        <x:f>ABS(M8-N8)/N8</x:f>
        <x:v>0</x:v>
      </x:c>
      <x:c r="P8" s="45" t="n">
        <x:f>IF((A8*I8/H8)&lt;=M8,0,INT((((A8*I8/H8)-M8)*10000)/(A8*I8/H8)))</x:f>
        <x:v>30</x:v>
      </x:c>
      <x:c r="Q8" s="45" t="n">
        <x:f>IF(E8="SAFE",MIN(20,K8+ROUND(P8/10,0)),IF(E8="SHALLOW",MIN(75,K8+ROUND(P8/100,0)),MIN(95,K8)))</x:f>
        <x:v>15</x:v>
      </x:c>
      <x:c r="R8" s="45" t="n">
        <x:f>IF(O8&gt;'Assumptions'!$B$11,MIN(35,ROUND(O8*500,0)),0)</x:f>
        <x:v>0</x:v>
      </x:c>
      <x:c r="S8" s="45" t="n">
        <x:f>IF(J8&gt;'Assumptions'!$B$12,MIN(30,ROUND((J8-'Assumptions'!$B$12)*200,0)),0)</x:f>
        <x:v>0</x:v>
      </x:c>
      <x:c r="T8" s="45" t="n">
        <x:f>IF(Q8&gt;'Assumptions'!$B$13,ROUND(Q8/3,0),0)</x:f>
        <x:v>0</x:v>
      </x:c>
      <x:c r="U8" s="45" t="n">
        <x:f>IF(OR(D8="BAD",D8="BAIT"),100,MIN(100,R8+S8+T8))</x:f>
        <x:v>100</x:v>
      </x:c>
      <x:c r="V8" s="41" t="str">
        <x:f>IF(OR(D8="BAD",D8="BAIT"),"REJECT",IF(U8&gt;='Assumptions'!$B$15,"REJECT",IF(AND(U8&gt;='Assumptions'!$B$14,L8=TRUE),"FALLBACK","ALLOW")))</x:f>
        <x:v>REJECT</x:v>
      </x:c>
    </x:row>
    <x:row r="9">
      <x:c r="A9" s="41" t="n">
        <x:v>1</x:v>
      </x:c>
      <x:c r="B9" s="41" t="str">
        <x:v>route-usdc-bait-shallow</x:v>
      </x:c>
      <x:c r="C9" s="41" t="str">
        <x:v>USDC</x:v>
      </x:c>
      <x:c r="D9" s="41" t="str">
        <x:v>BAIT</x:v>
      </x:c>
      <x:c r="E9" s="41" t="str">
        <x:v>SHALLOW</x:v>
      </x:c>
      <x:c r="F9" s="42" t="n">
        <x:v>1</x:v>
      </x:c>
      <x:c r="G9" s="42" t="n">
        <x:v>1</x:v>
      </x:c>
      <x:c r="H9" s="42" t="n">
        <x:v>500</x:v>
      </x:c>
      <x:c r="I9" s="42" t="n">
        <x:v>500</x:v>
      </x:c>
      <x:c r="J9" s="43" t="n">
        <x:v>0.25</x:v>
      </x:c>
      <x:c r="K9" s="41" t="n">
        <x:v>55</x:v>
      </x:c>
      <x:c r="L9" s="44" t="b">
        <x:v>1</x:v>
      </x:c>
      <x:c r="M9" s="42" t="n">
        <x:f>(A9*997*I9)/(H9*1000+A9*997)</x:f>
        <x:v>0.995015938219191</x:v>
      </x:c>
      <x:c r="N9" s="42" t="n">
        <x:f>(A9*997*(1000000*F9/G9))/(1000000*1000+A9*997)</x:f>
        <x:v>0.996999005991991</x:v>
      </x:c>
      <x:c r="O9" s="43" t="n">
        <x:f>ABS(M9-N9)/N9</x:f>
        <x:v>0.0019890368605000653</x:v>
      </x:c>
      <x:c r="P9" s="45" t="n">
        <x:f>IF((A9*I9/H9)&lt;=M9,0,INT((((A9*I9/H9)-M9)*10000)/(A9*I9/H9)))</x:f>
        <x:v>49</x:v>
      </x:c>
      <x:c r="Q9" s="45" t="n">
        <x:f>IF(E9="SAFE",MIN(20,K9+ROUND(P9/10,0)),IF(E9="SHALLOW",MIN(75,K9+ROUND(P9/100,0)),MIN(95,K9)))</x:f>
        <x:v>55</x:v>
      </x:c>
      <x:c r="R9" s="45" t="n">
        <x:f>IF(O9&gt;'Assumptions'!$B$11,MIN(35,ROUND(O9*500,0)),0)</x:f>
        <x:v>0</x:v>
      </x:c>
      <x:c r="S9" s="45" t="n">
        <x:f>IF(J9&gt;'Assumptions'!$B$12,MIN(30,ROUND((J9-'Assumptions'!$B$12)*200,0)),0)</x:f>
        <x:v>10</x:v>
      </x:c>
      <x:c r="T9" s="45" t="n">
        <x:f>IF(Q9&gt;'Assumptions'!$B$13,ROUND(Q9/3,0),0)</x:f>
        <x:v>0</x:v>
      </x:c>
      <x:c r="U9" s="45" t="n">
        <x:f>IF(OR(D9="BAD",D9="BAIT"),100,MIN(100,R9+S9+T9))</x:f>
        <x:v>100</x:v>
      </x:c>
      <x:c r="V9" s="41" t="str">
        <x:f>IF(OR(D9="BAD",D9="BAIT"),"REJECT",IF(U9&gt;='Assumptions'!$B$15,"REJECT",IF(AND(U9&gt;='Assumptions'!$B$14,L9=TRUE),"FALLBACK","ALLOW")))</x:f>
        <x:v>REJECT</x:v>
      </x:c>
    </x:row>
    <x:row r="10">
      <x:c r="A10" s="41" t="n">
        <x:v>1</x:v>
      </x:c>
      <x:c r="B10" s="41" t="str">
        <x:v>route-usdc-bait-toxic</x:v>
      </x:c>
      <x:c r="C10" s="41" t="str">
        <x:v>USDC</x:v>
      </x:c>
      <x:c r="D10" s="41" t="str">
        <x:v>BAIT</x:v>
      </x:c>
      <x:c r="E10" s="41" t="str">
        <x:v>TOXIC</x:v>
      </x:c>
      <x:c r="F10" s="42" t="n">
        <x:v>1</x:v>
      </x:c>
      <x:c r="G10" s="42" t="n">
        <x:v>1</x:v>
      </x:c>
      <x:c r="H10" s="42" t="n">
        <x:v>40000</x:v>
      </x:c>
      <x:c r="I10" s="42" t="n">
        <x:v>50000</x:v>
      </x:c>
      <x:c r="J10" s="43" t="n">
        <x:v>0.35</x:v>
      </x:c>
      <x:c r="K10" s="41" t="n">
        <x:v>88</x:v>
      </x:c>
      <x:c r="L10" s="44" t="b">
        <x:v>1</x:v>
      </x:c>
      <x:c r="M10" s="42" t="n">
        <x:f>(A10*997*I10)/(H10*1000+A10*997)</x:f>
        <x:v>1.2462189379929705</x:v>
      </x:c>
      <x:c r="N10" s="42" t="n">
        <x:f>(A10*997*(1000000*F10/G10))/(1000000*1000+A10*997)</x:f>
        <x:v>0.996999005991991</x:v>
      </x:c>
      <x:c r="O10" s="43" t="n">
        <x:f>ABS(M10-N10)/N10</x:f>
        <x:v>0.24997009074548815</x:v>
      </x:c>
      <x:c r="P10" s="45" t="n">
        <x:f>IF((A10*I10/H10)&lt;=M10,0,INT((((A10*I10/H10)-M10)*10000)/(A10*I10/H10)))</x:f>
        <x:v>30</x:v>
      </x:c>
      <x:c r="Q10" s="45" t="n">
        <x:f>IF(E10="SAFE",MIN(20,K10+ROUND(P10/10,0)),IF(E10="SHALLOW",MIN(75,K10+ROUND(P10/100,0)),MIN(95,K10)))</x:f>
        <x:v>88</x:v>
      </x:c>
      <x:c r="R10" s="45" t="n">
        <x:f>IF(O10&gt;'Assumptions'!$B$11,MIN(35,ROUND(O10*500,0)),0)</x:f>
        <x:v>35</x:v>
      </x:c>
      <x:c r="S10" s="45" t="n">
        <x:f>IF(J10&gt;'Assumptions'!$B$12,MIN(30,ROUND((J10-'Assumptions'!$B$12)*200,0)),0)</x:f>
        <x:v>30</x:v>
      </x:c>
      <x:c r="T10" s="45" t="n">
        <x:f>IF(Q10&gt;'Assumptions'!$B$13,ROUND(Q10/3,0),0)</x:f>
        <x:v>29</x:v>
      </x:c>
      <x:c r="U10" s="45" t="n">
        <x:f>IF(OR(D10="BAD",D10="BAIT"),100,MIN(100,R10+S10+T10))</x:f>
        <x:v>100</x:v>
      </x:c>
      <x:c r="V10" s="41" t="str">
        <x:f>IF(OR(D10="BAD",D10="BAIT"),"REJECT",IF(U10&gt;='Assumptions'!$B$15,"REJECT",IF(AND(U10&gt;='Assumptions'!$B$14,L10=TRUE),"FALLBACK","ALLOW")))</x:f>
        <x:v>REJECT</x:v>
      </x:c>
    </x:row>
    <x:row r="11">
      <x:c r="A11" s="41" t="n">
        <x:v>1</x:v>
      </x:c>
      <x:c r="B11" s="41" t="str">
        <x:v>route-good-usdc-safe</x:v>
      </x:c>
      <x:c r="C11" s="41" t="str">
        <x:v>GOOD</x:v>
      </x:c>
      <x:c r="D11" s="41" t="str">
        <x:v>USDC</x:v>
      </x:c>
      <x:c r="E11" s="41" t="str">
        <x:v>SAFE</x:v>
      </x:c>
      <x:c r="F11" s="42" t="n">
        <x:v>20</x:v>
      </x:c>
      <x:c r="G11" s="42" t="n">
        <x:v>1</x:v>
      </x:c>
      <x:c r="H11" s="42" t="n">
        <x:v>1000000</x:v>
      </x:c>
      <x:c r="I11" s="42" t="n">
        <x:v>20000000</x:v>
      </x:c>
      <x:c r="J11" s="43" t="n">
        <x:v>0.02</x:v>
      </x:c>
      <x:c r="K11" s="41" t="n">
        <x:v>12</x:v>
      </x:c>
      <x:c r="L11" s="44" t="b">
        <x:v>0</x:v>
      </x:c>
      <x:c r="M11" s="42" t="n">
        <x:f>(A11*997*I11)/(H11*1000+A11*997)</x:f>
        <x:v>19.93998011983982</x:v>
      </x:c>
      <x:c r="N11" s="42" t="n">
        <x:f>(A11*997*(1000000*F11/G11))/(1000000*1000+A11*997)</x:f>
        <x:v>19.93998011983982</x:v>
      </x:c>
      <x:c r="O11" s="43" t="n">
        <x:f>ABS(M11-N11)/N11</x:f>
        <x:v>0</x:v>
      </x:c>
      <x:c r="P11" s="45" t="n">
        <x:f>IF((A11*I11/H11)&lt;=M11,0,INT((((A11*I11/H11)-M11)*10000)/(A11*I11/H11)))</x:f>
        <x:v>30</x:v>
      </x:c>
      <x:c r="Q11" s="45" t="n">
        <x:f>IF(E11="SAFE",MIN(20,K11+ROUND(P11/10,0)),IF(E11="SHALLOW",MIN(75,K11+ROUND(P11/100,0)),MIN(95,K11)))</x:f>
        <x:v>15</x:v>
      </x:c>
      <x:c r="R11" s="45" t="n">
        <x:f>IF(O11&gt;'Assumptions'!$B$11,MIN(35,ROUND(O11*500,0)),0)</x:f>
        <x:v>0</x:v>
      </x:c>
      <x:c r="S11" s="45" t="n">
        <x:f>IF(J11&gt;'Assumptions'!$B$12,MIN(30,ROUND((J11-'Assumptions'!$B$12)*200,0)),0)</x:f>
        <x:v>0</x:v>
      </x:c>
      <x:c r="T11" s="45" t="n">
        <x:f>IF(Q11&gt;'Assumptions'!$B$13,ROUND(Q11/3,0),0)</x:f>
        <x:v>0</x:v>
      </x:c>
      <x:c r="U11" s="45" t="n">
        <x:f>IF(OR(D11="BAD",D11="BAIT"),100,MIN(100,R11+S11+T11))</x:f>
        <x:v>0</x:v>
      </x:c>
      <x:c r="V11" s="41" t="str">
        <x:f>IF(OR(D11="BAD",D11="BAIT"),"REJECT",IF(U11&gt;='Assumptions'!$B$15,"REJECT",IF(AND(U11&gt;='Assumptions'!$B$14,L11=TRUE),"FALLBACK","ALLOW")))</x:f>
        <x:v>ALLOW</x:v>
      </x:c>
    </x:row>
    <x:row r="12">
      <x:c r="A12" s="41" t="n">
        <x:v>1</x:v>
      </x:c>
      <x:c r="B12" s="41" t="str">
        <x:v>route-good-usdc-shallow</x:v>
      </x:c>
      <x:c r="C12" s="41" t="str">
        <x:v>GOOD</x:v>
      </x:c>
      <x:c r="D12" s="41" t="str">
        <x:v>USDC</x:v>
      </x:c>
      <x:c r="E12" s="41" t="str">
        <x:v>SHALLOW</x:v>
      </x:c>
      <x:c r="F12" s="42" t="n">
        <x:v>20</x:v>
      </x:c>
      <x:c r="G12" s="42" t="n">
        <x:v>1</x:v>
      </x:c>
      <x:c r="H12" s="42" t="n">
        <x:v>500</x:v>
      </x:c>
      <x:c r="I12" s="42" t="n">
        <x:v>10000</x:v>
      </x:c>
      <x:c r="J12" s="43" t="n">
        <x:v>0.25</x:v>
      </x:c>
      <x:c r="K12" s="41" t="n">
        <x:v>55</x:v>
      </x:c>
      <x:c r="L12" s="44" t="b">
        <x:v>1</x:v>
      </x:c>
      <x:c r="M12" s="42" t="n">
        <x:f>(A12*997*I12)/(H12*1000+A12*997)</x:f>
        <x:v>19.90031876438382</x:v>
      </x:c>
      <x:c r="N12" s="42" t="n">
        <x:f>(A12*997*(1000000*F12/G12))/(1000000*1000+A12*997)</x:f>
        <x:v>19.93998011983982</x:v>
      </x:c>
      <x:c r="O12" s="43" t="n">
        <x:f>ABS(M12-N12)/N12</x:f>
        <x:v>0.001989036860500132</x:v>
      </x:c>
      <x:c r="P12" s="45" t="n">
        <x:f>IF((A12*I12/H12)&lt;=M12,0,INT((((A12*I12/H12)-M12)*10000)/(A12*I12/H12)))</x:f>
        <x:v>49</x:v>
      </x:c>
      <x:c r="Q12" s="45" t="n">
        <x:f>IF(E12="SAFE",MIN(20,K12+ROUND(P12/10,0)),IF(E12="SHALLOW",MIN(75,K12+ROUND(P12/100,0)),MIN(95,K12)))</x:f>
        <x:v>55</x:v>
      </x:c>
      <x:c r="R12" s="45" t="n">
        <x:f>IF(O12&gt;'Assumptions'!$B$11,MIN(35,ROUND(O12*500,0)),0)</x:f>
        <x:v>0</x:v>
      </x:c>
      <x:c r="S12" s="45" t="n">
        <x:f>IF(J12&gt;'Assumptions'!$B$12,MIN(30,ROUND((J12-'Assumptions'!$B$12)*200,0)),0)</x:f>
        <x:v>10</x:v>
      </x:c>
      <x:c r="T12" s="45" t="n">
        <x:f>IF(Q12&gt;'Assumptions'!$B$13,ROUND(Q12/3,0),0)</x:f>
        <x:v>0</x:v>
      </x:c>
      <x:c r="U12" s="45" t="n">
        <x:f>IF(OR(D12="BAD",D12="BAIT"),100,MIN(100,R12+S12+T12))</x:f>
        <x:v>10</x:v>
      </x:c>
      <x:c r="V12" s="41" t="str">
        <x:f>IF(OR(D12="BAD",D12="BAIT"),"REJECT",IF(U12&gt;='Assumptions'!$B$15,"REJECT",IF(AND(U12&gt;='Assumptions'!$B$14,L12=TRUE),"FALLBACK","ALLOW")))</x:f>
        <x:v>ALLOW</x:v>
      </x:c>
    </x:row>
    <x:row r="13">
      <x:c r="A13" s="41" t="n">
        <x:v>1</x:v>
      </x:c>
      <x:c r="B13" s="41" t="str">
        <x:v>route-good-usdc-toxic</x:v>
      </x:c>
      <x:c r="C13" s="41" t="str">
        <x:v>GOOD</x:v>
      </x:c>
      <x:c r="D13" s="41" t="str">
        <x:v>USDC</x:v>
      </x:c>
      <x:c r="E13" s="41" t="str">
        <x:v>TOXIC</x:v>
      </x:c>
      <x:c r="F13" s="42" t="n">
        <x:v>20</x:v>
      </x:c>
      <x:c r="G13" s="42" t="n">
        <x:v>1</x:v>
      </x:c>
      <x:c r="H13" s="42" t="n">
        <x:v>40000</x:v>
      </x:c>
      <x:c r="I13" s="42" t="n">
        <x:v>1000000</x:v>
      </x:c>
      <x:c r="J13" s="43" t="n">
        <x:v>0.35</x:v>
      </x:c>
      <x:c r="K13" s="41" t="n">
        <x:v>88</x:v>
      </x:c>
      <x:c r="L13" s="44" t="b">
        <x:v>1</x:v>
      </x:c>
      <x:c r="M13" s="42" t="n">
        <x:f>(A13*997*I13)/(H13*1000+A13*997)</x:f>
        <x:v>24.92437875985941</x:v>
      </x:c>
      <x:c r="N13" s="42" t="n">
        <x:f>(A13*997*(1000000*F13/G13))/(1000000*1000+A13*997)</x:f>
        <x:v>19.93998011983982</x:v>
      </x:c>
      <x:c r="O13" s="43" t="n">
        <x:f>ABS(M13-N13)/N13</x:f>
        <x:v>0.24997009074548826</x:v>
      </x:c>
      <x:c r="P13" s="45" t="n">
        <x:f>IF((A13*I13/H13)&lt;=M13,0,INT((((A13*I13/H13)-M13)*10000)/(A13*I13/H13)))</x:f>
        <x:v>30</x:v>
      </x:c>
      <x:c r="Q13" s="45" t="n">
        <x:f>IF(E13="SAFE",MIN(20,K13+ROUND(P13/10,0)),IF(E13="SHALLOW",MIN(75,K13+ROUND(P13/100,0)),MIN(95,K13)))</x:f>
        <x:v>88</x:v>
      </x:c>
      <x:c r="R13" s="45" t="n">
        <x:f>IF(O13&gt;'Assumptions'!$B$11,MIN(35,ROUND(O13*500,0)),0)</x:f>
        <x:v>35</x:v>
      </x:c>
      <x:c r="S13" s="45" t="n">
        <x:f>IF(J13&gt;'Assumptions'!$B$12,MIN(30,ROUND((J13-'Assumptions'!$B$12)*200,0)),0)</x:f>
        <x:v>30</x:v>
      </x:c>
      <x:c r="T13" s="45" t="n">
        <x:f>IF(Q13&gt;'Assumptions'!$B$13,ROUND(Q13/3,0),0)</x:f>
        <x:v>29</x:v>
      </x:c>
      <x:c r="U13" s="45" t="n">
        <x:f>IF(OR(D13="BAD",D13="BAIT"),100,MIN(100,R13+S13+T13))</x:f>
        <x:v>94</x:v>
      </x:c>
      <x:c r="V13" s="41" t="str">
        <x:f>IF(OR(D13="BAD",D13="BAIT"),"REJECT",IF(U13&gt;='Assumptions'!$B$15,"REJECT",IF(AND(U13&gt;='Assumptions'!$B$14,L13=TRUE),"FALLBACK","ALLOW")))</x:f>
        <x:v>REJECT</x:v>
      </x:c>
    </x:row>
    <x:row r="14">
      <x:c r="A14" s="41" t="n">
        <x:v>1</x:v>
      </x:c>
      <x:c r="B14" s="41" t="str">
        <x:v>route-good-bad-safe</x:v>
      </x:c>
      <x:c r="C14" s="41" t="str">
        <x:v>GOOD</x:v>
      </x:c>
      <x:c r="D14" s="41" t="str">
        <x:v>BAD</x:v>
      </x:c>
      <x:c r="E14" s="41" t="str">
        <x:v>SAFE</x:v>
      </x:c>
      <x:c r="F14" s="42" t="n">
        <x:v>20</x:v>
      </x:c>
      <x:c r="G14" s="42" t="n">
        <x:v>100</x:v>
      </x:c>
      <x:c r="H14" s="42" t="n">
        <x:v>1000000</x:v>
      </x:c>
      <x:c r="I14" s="42" t="n">
        <x:v>200000</x:v>
      </x:c>
      <x:c r="J14" s="43" t="n">
        <x:v>0.02</x:v>
      </x:c>
      <x:c r="K14" s="41" t="n">
        <x:v>12</x:v>
      </x:c>
      <x:c r="L14" s="44" t="b">
        <x:v>0</x:v>
      </x:c>
      <x:c r="M14" s="42" t="n">
        <x:f>(A14*997*I14)/(H14*1000+A14*997)</x:f>
        <x:v>0.1993998011983982</x:v>
      </x:c>
      <x:c r="N14" s="42" t="n">
        <x:f>(A14*997*(1000000*F14/G14))/(1000000*1000+A14*997)</x:f>
        <x:v>0.1993998011983982</x:v>
      </x:c>
      <x:c r="O14" s="43" t="n">
        <x:f>ABS(M14-N14)/N14</x:f>
        <x:v>0</x:v>
      </x:c>
      <x:c r="P14" s="45" t="n">
        <x:f>IF((A14*I14/H14)&lt;=M14,0,INT((((A14*I14/H14)-M14)*10000)/(A14*I14/H14)))</x:f>
        <x:v>30</x:v>
      </x:c>
      <x:c r="Q14" s="45" t="n">
        <x:f>IF(E14="SAFE",MIN(20,K14+ROUND(P14/10,0)),IF(E14="SHALLOW",MIN(75,K14+ROUND(P14/100,0)),MIN(95,K14)))</x:f>
        <x:v>15</x:v>
      </x:c>
      <x:c r="R14" s="45" t="n">
        <x:f>IF(O14&gt;'Assumptions'!$B$11,MIN(35,ROUND(O14*500,0)),0)</x:f>
        <x:v>0</x:v>
      </x:c>
      <x:c r="S14" s="45" t="n">
        <x:f>IF(J14&gt;'Assumptions'!$B$12,MIN(30,ROUND((J14-'Assumptions'!$B$12)*200,0)),0)</x:f>
        <x:v>0</x:v>
      </x:c>
      <x:c r="T14" s="45" t="n">
        <x:f>IF(Q14&gt;'Assumptions'!$B$13,ROUND(Q14/3,0),0)</x:f>
        <x:v>0</x:v>
      </x:c>
      <x:c r="U14" s="45" t="n">
        <x:f>IF(OR(D14="BAD",D14="BAIT"),100,MIN(100,R14+S14+T14))</x:f>
        <x:v>100</x:v>
      </x:c>
      <x:c r="V14" s="41" t="str">
        <x:f>IF(OR(D14="BAD",D14="BAIT"),"REJECT",IF(U14&gt;='Assumptions'!$B$15,"REJECT",IF(AND(U14&gt;='Assumptions'!$B$14,L14=TRUE),"FALLBACK","ALLOW")))</x:f>
        <x:v>REJECT</x:v>
      </x:c>
    </x:row>
    <x:row r="15">
      <x:c r="A15" s="41" t="n">
        <x:v>1</x:v>
      </x:c>
      <x:c r="B15" s="41" t="str">
        <x:v>route-good-bad-shallow</x:v>
      </x:c>
      <x:c r="C15" s="41" t="str">
        <x:v>GOOD</x:v>
      </x:c>
      <x:c r="D15" s="41" t="str">
        <x:v>BAD</x:v>
      </x:c>
      <x:c r="E15" s="41" t="str">
        <x:v>SHALLOW</x:v>
      </x:c>
      <x:c r="F15" s="42" t="n">
        <x:v>20</x:v>
      </x:c>
      <x:c r="G15" s="42" t="n">
        <x:v>100</x:v>
      </x:c>
      <x:c r="H15" s="42" t="n">
        <x:v>500</x:v>
      </x:c>
      <x:c r="I15" s="42" t="n">
        <x:v>100</x:v>
      </x:c>
      <x:c r="J15" s="43" t="n">
        <x:v>0.25</x:v>
      </x:c>
      <x:c r="K15" s="41" t="n">
        <x:v>55</x:v>
      </x:c>
      <x:c r="L15" s="44" t="b">
        <x:v>1</x:v>
      </x:c>
      <x:c r="M15" s="42" t="n">
        <x:f>(A15*997*I15)/(H15*1000+A15*997)</x:f>
        <x:v>0.19900318764383818</x:v>
      </x:c>
      <x:c r="N15" s="42" t="n">
        <x:f>(A15*997*(1000000*F15/G15))/(1000000*1000+A15*997)</x:f>
        <x:v>0.1993998011983982</x:v>
      </x:c>
      <x:c r="O15" s="43" t="n">
        <x:f>ABS(M15-N15)/N15</x:f>
        <x:v>0.0019890368605002045</x:v>
      </x:c>
      <x:c r="P15" s="45" t="n">
        <x:f>IF((A15*I15/H15)&lt;=M15,0,INT((((A15*I15/H15)-M15)*10000)/(A15*I15/H15)))</x:f>
        <x:v>49</x:v>
      </x:c>
      <x:c r="Q15" s="45" t="n">
        <x:f>IF(E15="SAFE",MIN(20,K15+ROUND(P15/10,0)),IF(E15="SHALLOW",MIN(75,K15+ROUND(P15/100,0)),MIN(95,K15)))</x:f>
        <x:v>55</x:v>
      </x:c>
      <x:c r="R15" s="45" t="n">
        <x:f>IF(O15&gt;'Assumptions'!$B$11,MIN(35,ROUND(O15*500,0)),0)</x:f>
        <x:v>0</x:v>
      </x:c>
      <x:c r="S15" s="45" t="n">
        <x:f>IF(J15&gt;'Assumptions'!$B$12,MIN(30,ROUND((J15-'Assumptions'!$B$12)*200,0)),0)</x:f>
        <x:v>10</x:v>
      </x:c>
      <x:c r="T15" s="45" t="n">
        <x:f>IF(Q15&gt;'Assumptions'!$B$13,ROUND(Q15/3,0),0)</x:f>
        <x:v>0</x:v>
      </x:c>
      <x:c r="U15" s="45" t="n">
        <x:f>IF(OR(D15="BAD",D15="BAIT"),100,MIN(100,R15+S15+T15))</x:f>
        <x:v>100</x:v>
      </x:c>
      <x:c r="V15" s="41" t="str">
        <x:f>IF(OR(D15="BAD",D15="BAIT"),"REJECT",IF(U15&gt;='Assumptions'!$B$15,"REJECT",IF(AND(U15&gt;='Assumptions'!$B$14,L15=TRUE),"FALLBACK","ALLOW")))</x:f>
        <x:v>REJECT</x:v>
      </x:c>
    </x:row>
    <x:row r="16">
      <x:c r="A16" s="41" t="n">
        <x:v>1</x:v>
      </x:c>
      <x:c r="B16" s="41" t="str">
        <x:v>route-good-bad-toxic</x:v>
      </x:c>
      <x:c r="C16" s="41" t="str">
        <x:v>GOOD</x:v>
      </x:c>
      <x:c r="D16" s="41" t="str">
        <x:v>BAD</x:v>
      </x:c>
      <x:c r="E16" s="41" t="str">
        <x:v>TOXIC</x:v>
      </x:c>
      <x:c r="F16" s="42" t="n">
        <x:v>20</x:v>
      </x:c>
      <x:c r="G16" s="42" t="n">
        <x:v>100</x:v>
      </x:c>
      <x:c r="H16" s="42" t="n">
        <x:v>40000</x:v>
      </x:c>
      <x:c r="I16" s="42" t="n">
        <x:v>10000</x:v>
      </x:c>
      <x:c r="J16" s="43" t="n">
        <x:v>0.35</x:v>
      </x:c>
      <x:c r="K16" s="41" t="n">
        <x:v>88</x:v>
      </x:c>
      <x:c r="L16" s="44" t="b">
        <x:v>1</x:v>
      </x:c>
      <x:c r="M16" s="42" t="n">
        <x:f>(A16*997*I16)/(H16*1000+A16*997)</x:f>
        <x:v>0.2492437875985941</x:v>
      </x:c>
      <x:c r="N16" s="42" t="n">
        <x:f>(A16*997*(1000000*F16/G16))/(1000000*1000+A16*997)</x:f>
        <x:v>0.1993998011983982</x:v>
      </x:c>
      <x:c r="O16" s="43" t="n">
        <x:f>ABS(M16-N16)/N16</x:f>
        <x:v>0.24997009074548823</x:v>
      </x:c>
      <x:c r="P16" s="45" t="n">
        <x:f>IF((A16*I16/H16)&lt;=M16,0,INT((((A16*I16/H16)-M16)*10000)/(A16*I16/H16)))</x:f>
        <x:v>30</x:v>
      </x:c>
      <x:c r="Q16" s="45" t="n">
        <x:f>IF(E16="SAFE",MIN(20,K16+ROUND(P16/10,0)),IF(E16="SHALLOW",MIN(75,K16+ROUND(P16/100,0)),MIN(95,K16)))</x:f>
        <x:v>88</x:v>
      </x:c>
      <x:c r="R16" s="45" t="n">
        <x:f>IF(O16&gt;'Assumptions'!$B$11,MIN(35,ROUND(O16*500,0)),0)</x:f>
        <x:v>35</x:v>
      </x:c>
      <x:c r="S16" s="45" t="n">
        <x:f>IF(J16&gt;'Assumptions'!$B$12,MIN(30,ROUND((J16-'Assumptions'!$B$12)*200,0)),0)</x:f>
        <x:v>30</x:v>
      </x:c>
      <x:c r="T16" s="45" t="n">
        <x:f>IF(Q16&gt;'Assumptions'!$B$13,ROUND(Q16/3,0),0)</x:f>
        <x:v>29</x:v>
      </x:c>
      <x:c r="U16" s="45" t="n">
        <x:f>IF(OR(D16="BAD",D16="BAIT"),100,MIN(100,R16+S16+T16))</x:f>
        <x:v>100</x:v>
      </x:c>
      <x:c r="V16" s="41" t="str">
        <x:f>IF(OR(D16="BAD",D16="BAIT"),"REJECT",IF(U16&gt;='Assumptions'!$B$15,"REJECT",IF(AND(U16&gt;='Assumptions'!$B$14,L16=TRUE),"FALLBACK","ALLOW")))</x:f>
        <x:v>REJECT</x:v>
      </x:c>
    </x:row>
    <x:row r="17">
      <x:c r="A17" s="41" t="n">
        <x:v>1</x:v>
      </x:c>
      <x:c r="B17" s="41" t="str">
        <x:v>route-good-bait-safe</x:v>
      </x:c>
      <x:c r="C17" s="41" t="str">
        <x:v>GOOD</x:v>
      </x:c>
      <x:c r="D17" s="41" t="str">
        <x:v>BAIT</x:v>
      </x:c>
      <x:c r="E17" s="41" t="str">
        <x:v>SAFE</x:v>
      </x:c>
      <x:c r="F17" s="42" t="n">
        <x:v>20</x:v>
      </x:c>
      <x:c r="G17" s="42" t="n">
        <x:v>1</x:v>
      </x:c>
      <x:c r="H17" s="42" t="n">
        <x:v>1000000</x:v>
      </x:c>
      <x:c r="I17" s="42" t="n">
        <x:v>20000000</x:v>
      </x:c>
      <x:c r="J17" s="43" t="n">
        <x:v>0.02</x:v>
      </x:c>
      <x:c r="K17" s="41" t="n">
        <x:v>12</x:v>
      </x:c>
      <x:c r="L17" s="44" t="b">
        <x:v>0</x:v>
      </x:c>
      <x:c r="M17" s="42" t="n">
        <x:f>(A17*997*I17)/(H17*1000+A17*997)</x:f>
        <x:v>19.93998011983982</x:v>
      </x:c>
      <x:c r="N17" s="42" t="n">
        <x:f>(A17*997*(1000000*F17/G17))/(1000000*1000+A17*997)</x:f>
        <x:v>19.93998011983982</x:v>
      </x:c>
      <x:c r="O17" s="43" t="n">
        <x:f>ABS(M17-N17)/N17</x:f>
        <x:v>0</x:v>
      </x:c>
      <x:c r="P17" s="45" t="n">
        <x:f>IF((A17*I17/H17)&lt;=M17,0,INT((((A17*I17/H17)-M17)*10000)/(A17*I17/H17)))</x:f>
        <x:v>30</x:v>
      </x:c>
      <x:c r="Q17" s="45" t="n">
        <x:f>IF(E17="SAFE",MIN(20,K17+ROUND(P17/10,0)),IF(E17="SHALLOW",MIN(75,K17+ROUND(P17/100,0)),MIN(95,K17)))</x:f>
        <x:v>15</x:v>
      </x:c>
      <x:c r="R17" s="45" t="n">
        <x:f>IF(O17&gt;'Assumptions'!$B$11,MIN(35,ROUND(O17*500,0)),0)</x:f>
        <x:v>0</x:v>
      </x:c>
      <x:c r="S17" s="45" t="n">
        <x:f>IF(J17&gt;'Assumptions'!$B$12,MIN(30,ROUND((J17-'Assumptions'!$B$12)*200,0)),0)</x:f>
        <x:v>0</x:v>
      </x:c>
      <x:c r="T17" s="45" t="n">
        <x:f>IF(Q17&gt;'Assumptions'!$B$13,ROUND(Q17/3,0),0)</x:f>
        <x:v>0</x:v>
      </x:c>
      <x:c r="U17" s="45" t="n">
        <x:f>IF(OR(D17="BAD",D17="BAIT"),100,MIN(100,R17+S17+T17))</x:f>
        <x:v>100</x:v>
      </x:c>
      <x:c r="V17" s="41" t="str">
        <x:f>IF(OR(D17="BAD",D17="BAIT"),"REJECT",IF(U17&gt;='Assumptions'!$B$15,"REJECT",IF(AND(U17&gt;='Assumptions'!$B$14,L17=TRUE),"FALLBACK","ALLOW")))</x:f>
        <x:v>REJECT</x:v>
      </x:c>
    </x:row>
    <x:row r="18">
      <x:c r="A18" s="41" t="n">
        <x:v>1</x:v>
      </x:c>
      <x:c r="B18" s="41" t="str">
        <x:v>route-good-bait-shallow</x:v>
      </x:c>
      <x:c r="C18" s="41" t="str">
        <x:v>GOOD</x:v>
      </x:c>
      <x:c r="D18" s="41" t="str">
        <x:v>BAIT</x:v>
      </x:c>
      <x:c r="E18" s="41" t="str">
        <x:v>SHALLOW</x:v>
      </x:c>
      <x:c r="F18" s="42" t="n">
        <x:v>20</x:v>
      </x:c>
      <x:c r="G18" s="42" t="n">
        <x:v>1</x:v>
      </x:c>
      <x:c r="H18" s="42" t="n">
        <x:v>500</x:v>
      </x:c>
      <x:c r="I18" s="42" t="n">
        <x:v>10000</x:v>
      </x:c>
      <x:c r="J18" s="43" t="n">
        <x:v>0.25</x:v>
      </x:c>
      <x:c r="K18" s="41" t="n">
        <x:v>55</x:v>
      </x:c>
      <x:c r="L18" s="44" t="b">
        <x:v>1</x:v>
      </x:c>
      <x:c r="M18" s="42" t="n">
        <x:f>(A18*997*I18)/(H18*1000+A18*997)</x:f>
        <x:v>19.90031876438382</x:v>
      </x:c>
      <x:c r="N18" s="42" t="n">
        <x:f>(A18*997*(1000000*F18/G18))/(1000000*1000+A18*997)</x:f>
        <x:v>19.93998011983982</x:v>
      </x:c>
      <x:c r="O18" s="43" t="n">
        <x:f>ABS(M18-N18)/N18</x:f>
        <x:v>0.001989036860500132</x:v>
      </x:c>
      <x:c r="P18" s="45" t="n">
        <x:f>IF((A18*I18/H18)&lt;=M18,0,INT((((A18*I18/H18)-M18)*10000)/(A18*I18/H18)))</x:f>
        <x:v>49</x:v>
      </x:c>
      <x:c r="Q18" s="45" t="n">
        <x:f>IF(E18="SAFE",MIN(20,K18+ROUND(P18/10,0)),IF(E18="SHALLOW",MIN(75,K18+ROUND(P18/100,0)),MIN(95,K18)))</x:f>
        <x:v>55</x:v>
      </x:c>
      <x:c r="R18" s="45" t="n">
        <x:f>IF(O18&gt;'Assumptions'!$B$11,MIN(35,ROUND(O18*500,0)),0)</x:f>
        <x:v>0</x:v>
      </x:c>
      <x:c r="S18" s="45" t="n">
        <x:f>IF(J18&gt;'Assumptions'!$B$12,MIN(30,ROUND((J18-'Assumptions'!$B$12)*200,0)),0)</x:f>
        <x:v>10</x:v>
      </x:c>
      <x:c r="T18" s="45" t="n">
        <x:f>IF(Q18&gt;'Assumptions'!$B$13,ROUND(Q18/3,0),0)</x:f>
        <x:v>0</x:v>
      </x:c>
      <x:c r="U18" s="45" t="n">
        <x:f>IF(OR(D18="BAD",D18="BAIT"),100,MIN(100,R18+S18+T18))</x:f>
        <x:v>100</x:v>
      </x:c>
      <x:c r="V18" s="41" t="str">
        <x:f>IF(OR(D18="BAD",D18="BAIT"),"REJECT",IF(U18&gt;='Assumptions'!$B$15,"REJECT",IF(AND(U18&gt;='Assumptions'!$B$14,L18=TRUE),"FALLBACK","ALLOW")))</x:f>
        <x:v>REJECT</x:v>
      </x:c>
    </x:row>
    <x:row r="19">
      <x:c r="A19" s="41" t="n">
        <x:v>1</x:v>
      </x:c>
      <x:c r="B19" s="41" t="str">
        <x:v>route-good-bait-toxic</x:v>
      </x:c>
      <x:c r="C19" s="41" t="str">
        <x:v>GOOD</x:v>
      </x:c>
      <x:c r="D19" s="41" t="str">
        <x:v>BAIT</x:v>
      </x:c>
      <x:c r="E19" s="41" t="str">
        <x:v>TOXIC</x:v>
      </x:c>
      <x:c r="F19" s="42" t="n">
        <x:v>20</x:v>
      </x:c>
      <x:c r="G19" s="42" t="n">
        <x:v>1</x:v>
      </x:c>
      <x:c r="H19" s="42" t="n">
        <x:v>40000</x:v>
      </x:c>
      <x:c r="I19" s="42" t="n">
        <x:v>1000000</x:v>
      </x:c>
      <x:c r="J19" s="43" t="n">
        <x:v>0.35</x:v>
      </x:c>
      <x:c r="K19" s="41" t="n">
        <x:v>88</x:v>
      </x:c>
      <x:c r="L19" s="44" t="b">
        <x:v>1</x:v>
      </x:c>
      <x:c r="M19" s="42" t="n">
        <x:f>(A19*997*I19)/(H19*1000+A19*997)</x:f>
        <x:v>24.92437875985941</x:v>
      </x:c>
      <x:c r="N19" s="42" t="n">
        <x:f>(A19*997*(1000000*F19/G19))/(1000000*1000+A19*997)</x:f>
        <x:v>19.93998011983982</x:v>
      </x:c>
      <x:c r="O19" s="43" t="n">
        <x:f>ABS(M19-N19)/N19</x:f>
        <x:v>0.24997009074548826</x:v>
      </x:c>
      <x:c r="P19" s="45" t="n">
        <x:f>IF((A19*I19/H19)&lt;=M19,0,INT((((A19*I19/H19)-M19)*10000)/(A19*I19/H19)))</x:f>
        <x:v>30</x:v>
      </x:c>
      <x:c r="Q19" s="45" t="n">
        <x:f>IF(E19="SAFE",MIN(20,K19+ROUND(P19/10,0)),IF(E19="SHALLOW",MIN(75,K19+ROUND(P19/100,0)),MIN(95,K19)))</x:f>
        <x:v>88</x:v>
      </x:c>
      <x:c r="R19" s="45" t="n">
        <x:f>IF(O19&gt;'Assumptions'!$B$11,MIN(35,ROUND(O19*500,0)),0)</x:f>
        <x:v>35</x:v>
      </x:c>
      <x:c r="S19" s="45" t="n">
        <x:f>IF(J19&gt;'Assumptions'!$B$12,MIN(30,ROUND((J19-'Assumptions'!$B$12)*200,0)),0)</x:f>
        <x:v>30</x:v>
      </x:c>
      <x:c r="T19" s="45" t="n">
        <x:f>IF(Q19&gt;'Assumptions'!$B$13,ROUND(Q19/3,0),0)</x:f>
        <x:v>29</x:v>
      </x:c>
      <x:c r="U19" s="45" t="n">
        <x:f>IF(OR(D19="BAD",D19="BAIT"),100,MIN(100,R19+S19+T19))</x:f>
        <x:v>100</x:v>
      </x:c>
      <x:c r="V19" s="41" t="str">
        <x:f>IF(OR(D19="BAD",D19="BAIT"),"REJECT",IF(U19&gt;='Assumptions'!$B$15,"REJECT",IF(AND(U19&gt;='Assumptions'!$B$14,L19=TRUE),"FALLBACK","ALLOW")))</x:f>
        <x:v>REJECT</x:v>
      </x:c>
    </x:row>
    <x:row r="20">
      <x:c r="A20" s="41" t="n">
        <x:v>1</x:v>
      </x:c>
      <x:c r="B20" s="41" t="str">
        <x:v>route-bad-usdc-safe</x:v>
      </x:c>
      <x:c r="C20" s="41" t="str">
        <x:v>BAD</x:v>
      </x:c>
      <x:c r="D20" s="41" t="str">
        <x:v>USDC</x:v>
      </x:c>
      <x:c r="E20" s="41" t="str">
        <x:v>SAFE</x:v>
      </x:c>
      <x:c r="F20" s="42" t="n">
        <x:v>100</x:v>
      </x:c>
      <x:c r="G20" s="42" t="n">
        <x:v>1</x:v>
      </x:c>
      <x:c r="H20" s="42" t="n">
        <x:v>1000000</x:v>
      </x:c>
      <x:c r="I20" s="42" t="n">
        <x:v>100000000</x:v>
      </x:c>
      <x:c r="J20" s="43" t="n">
        <x:v>0.02</x:v>
      </x:c>
      <x:c r="K20" s="41" t="n">
        <x:v>12</x:v>
      </x:c>
      <x:c r="L20" s="44" t="b">
        <x:v>0</x:v>
      </x:c>
      <x:c r="M20" s="42" t="n">
        <x:f>(A20*997*I20)/(H20*1000+A20*997)</x:f>
        <x:v>99.6999005991991</x:v>
      </x:c>
      <x:c r="N20" s="42" t="n">
        <x:f>(A20*997*(1000000*F20/G20))/(1000000*1000+A20*997)</x:f>
        <x:v>99.6999005991991</x:v>
      </x:c>
      <x:c r="O20" s="43" t="n">
        <x:f>ABS(M20-N20)/N20</x:f>
        <x:v>0</x:v>
      </x:c>
      <x:c r="P20" s="45" t="n">
        <x:f>IF((A20*I20/H20)&lt;=M20,0,INT((((A20*I20/H20)-M20)*10000)/(A20*I20/H20)))</x:f>
        <x:v>30</x:v>
      </x:c>
      <x:c r="Q20" s="45" t="n">
        <x:f>IF(E20="SAFE",MIN(20,K20+ROUND(P20/10,0)),IF(E20="SHALLOW",MIN(75,K20+ROUND(P20/100,0)),MIN(95,K20)))</x:f>
        <x:v>15</x:v>
      </x:c>
      <x:c r="R20" s="45" t="n">
        <x:f>IF(O20&gt;'Assumptions'!$B$11,MIN(35,ROUND(O20*500,0)),0)</x:f>
        <x:v>0</x:v>
      </x:c>
      <x:c r="S20" s="45" t="n">
        <x:f>IF(J20&gt;'Assumptions'!$B$12,MIN(30,ROUND((J20-'Assumptions'!$B$12)*200,0)),0)</x:f>
        <x:v>0</x:v>
      </x:c>
      <x:c r="T20" s="45" t="n">
        <x:f>IF(Q20&gt;'Assumptions'!$B$13,ROUND(Q20/3,0),0)</x:f>
        <x:v>0</x:v>
      </x:c>
      <x:c r="U20" s="45" t="n">
        <x:f>IF(OR(D20="BAD",D20="BAIT"),100,MIN(100,R20+S20+T20))</x:f>
        <x:v>0</x:v>
      </x:c>
      <x:c r="V20" s="41" t="str">
        <x:f>IF(OR(D20="BAD",D20="BAIT"),"REJECT",IF(U20&gt;='Assumptions'!$B$15,"REJECT",IF(AND(U20&gt;='Assumptions'!$B$14,L20=TRUE),"FALLBACK","ALLOW")))</x:f>
        <x:v>ALLOW</x:v>
      </x:c>
    </x:row>
    <x:row r="21">
      <x:c r="A21" s="41" t="n">
        <x:v>1</x:v>
      </x:c>
      <x:c r="B21" s="41" t="str">
        <x:v>route-bad-usdc-shallow</x:v>
      </x:c>
      <x:c r="C21" s="41" t="str">
        <x:v>BAD</x:v>
      </x:c>
      <x:c r="D21" s="41" t="str">
        <x:v>USDC</x:v>
      </x:c>
      <x:c r="E21" s="41" t="str">
        <x:v>SHALLOW</x:v>
      </x:c>
      <x:c r="F21" s="42" t="n">
        <x:v>100</x:v>
      </x:c>
      <x:c r="G21" s="42" t="n">
        <x:v>1</x:v>
      </x:c>
      <x:c r="H21" s="42" t="n">
        <x:v>500</x:v>
      </x:c>
      <x:c r="I21" s="42" t="n">
        <x:v>50000</x:v>
      </x:c>
      <x:c r="J21" s="43" t="n">
        <x:v>0.25</x:v>
      </x:c>
      <x:c r="K21" s="41" t="n">
        <x:v>55</x:v>
      </x:c>
      <x:c r="L21" s="44" t="b">
        <x:v>1</x:v>
      </x:c>
      <x:c r="M21" s="42" t="n">
        <x:f>(A21*997*I21)/(H21*1000+A21*997)</x:f>
        <x:v>99.50159382191909</x:v>
      </x:c>
      <x:c r="N21" s="42" t="n">
        <x:f>(A21*997*(1000000*F21/G21))/(1000000*1000+A21*997)</x:f>
        <x:v>99.6999005991991</x:v>
      </x:c>
      <x:c r="O21" s="43" t="n">
        <x:f>ABS(M21-N21)/N21</x:f>
        <x:v>0.001989036860500168</x:v>
      </x:c>
      <x:c r="P21" s="45" t="n">
        <x:f>IF((A21*I21/H21)&lt;=M21,0,INT((((A21*I21/H21)-M21)*10000)/(A21*I21/H21)))</x:f>
        <x:v>49</x:v>
      </x:c>
      <x:c r="Q21" s="45" t="n">
        <x:f>IF(E21="SAFE",MIN(20,K21+ROUND(P21/10,0)),IF(E21="SHALLOW",MIN(75,K21+ROUND(P21/100,0)),MIN(95,K21)))</x:f>
        <x:v>55</x:v>
      </x:c>
      <x:c r="R21" s="45" t="n">
        <x:f>IF(O21&gt;'Assumptions'!$B$11,MIN(35,ROUND(O21*500,0)),0)</x:f>
        <x:v>0</x:v>
      </x:c>
      <x:c r="S21" s="45" t="n">
        <x:f>IF(J21&gt;'Assumptions'!$B$12,MIN(30,ROUND((J21-'Assumptions'!$B$12)*200,0)),0)</x:f>
        <x:v>10</x:v>
      </x:c>
      <x:c r="T21" s="45" t="n">
        <x:f>IF(Q21&gt;'Assumptions'!$B$13,ROUND(Q21/3,0),0)</x:f>
        <x:v>0</x:v>
      </x:c>
      <x:c r="U21" s="45" t="n">
        <x:f>IF(OR(D21="BAD",D21="BAIT"),100,MIN(100,R21+S21+T21))</x:f>
        <x:v>10</x:v>
      </x:c>
      <x:c r="V21" s="41" t="str">
        <x:f>IF(OR(D21="BAD",D21="BAIT"),"REJECT",IF(U21&gt;='Assumptions'!$B$15,"REJECT",IF(AND(U21&gt;='Assumptions'!$B$14,L21=TRUE),"FALLBACK","ALLOW")))</x:f>
        <x:v>ALLOW</x:v>
      </x:c>
    </x:row>
    <x:row r="22">
      <x:c r="A22" s="41" t="n">
        <x:v>1</x:v>
      </x:c>
      <x:c r="B22" s="41" t="str">
        <x:v>route-bad-usdc-toxic</x:v>
      </x:c>
      <x:c r="C22" s="41" t="str">
        <x:v>BAD</x:v>
      </x:c>
      <x:c r="D22" s="41" t="str">
        <x:v>USDC</x:v>
      </x:c>
      <x:c r="E22" s="41" t="str">
        <x:v>TOXIC</x:v>
      </x:c>
      <x:c r="F22" s="42" t="n">
        <x:v>100</x:v>
      </x:c>
      <x:c r="G22" s="42" t="n">
        <x:v>1</x:v>
      </x:c>
      <x:c r="H22" s="42" t="n">
        <x:v>40000</x:v>
      </x:c>
      <x:c r="I22" s="42" t="n">
        <x:v>5000000</x:v>
      </x:c>
      <x:c r="J22" s="43" t="n">
        <x:v>0.35</x:v>
      </x:c>
      <x:c r="K22" s="41" t="n">
        <x:v>88</x:v>
      </x:c>
      <x:c r="L22" s="44" t="b">
        <x:v>1</x:v>
      </x:c>
      <x:c r="M22" s="42" t="n">
        <x:f>(A22*997*I22)/(H22*1000+A22*997)</x:f>
        <x:v>124.62189379929706</x:v>
      </x:c>
      <x:c r="N22" s="42" t="n">
        <x:f>(A22*997*(1000000*F22/G22))/(1000000*1000+A22*997)</x:f>
        <x:v>99.6999005991991</x:v>
      </x:c>
      <x:c r="O22" s="43" t="n">
        <x:f>ABS(M22-N22)/N22</x:f>
        <x:v>0.24997009074548826</x:v>
      </x:c>
      <x:c r="P22" s="45" t="n">
        <x:f>IF((A22*I22/H22)&lt;=M22,0,INT((((A22*I22/H22)-M22)*10000)/(A22*I22/H22)))</x:f>
        <x:v>30</x:v>
      </x:c>
      <x:c r="Q22" s="45" t="n">
        <x:f>IF(E22="SAFE",MIN(20,K22+ROUND(P22/10,0)),IF(E22="SHALLOW",MIN(75,K22+ROUND(P22/100,0)),MIN(95,K22)))</x:f>
        <x:v>88</x:v>
      </x:c>
      <x:c r="R22" s="45" t="n">
        <x:f>IF(O22&gt;'Assumptions'!$B$11,MIN(35,ROUND(O22*500,0)),0)</x:f>
        <x:v>35</x:v>
      </x:c>
      <x:c r="S22" s="45" t="n">
        <x:f>IF(J22&gt;'Assumptions'!$B$12,MIN(30,ROUND((J22-'Assumptions'!$B$12)*200,0)),0)</x:f>
        <x:v>30</x:v>
      </x:c>
      <x:c r="T22" s="45" t="n">
        <x:f>IF(Q22&gt;'Assumptions'!$B$13,ROUND(Q22/3,0),0)</x:f>
        <x:v>29</x:v>
      </x:c>
      <x:c r="U22" s="45" t="n">
        <x:f>IF(OR(D22="BAD",D22="BAIT"),100,MIN(100,R22+S22+T22))</x:f>
        <x:v>94</x:v>
      </x:c>
      <x:c r="V22" s="41" t="str">
        <x:f>IF(OR(D22="BAD",D22="BAIT"),"REJECT",IF(U22&gt;='Assumptions'!$B$15,"REJECT",IF(AND(U22&gt;='Assumptions'!$B$14,L22=TRUE),"FALLBACK","ALLOW")))</x:f>
        <x:v>REJECT</x:v>
      </x:c>
    </x:row>
    <x:row r="23">
      <x:c r="A23" s="41" t="n">
        <x:v>1</x:v>
      </x:c>
      <x:c r="B23" s="41" t="str">
        <x:v>route-bad-good-safe</x:v>
      </x:c>
      <x:c r="C23" s="41" t="str">
        <x:v>BAD</x:v>
      </x:c>
      <x:c r="D23" s="41" t="str">
        <x:v>GOOD</x:v>
      </x:c>
      <x:c r="E23" s="41" t="str">
        <x:v>SAFE</x:v>
      </x:c>
      <x:c r="F23" s="42" t="n">
        <x:v>100</x:v>
      </x:c>
      <x:c r="G23" s="42" t="n">
        <x:v>20</x:v>
      </x:c>
      <x:c r="H23" s="42" t="n">
        <x:v>1000000</x:v>
      </x:c>
      <x:c r="I23" s="42" t="n">
        <x:v>5000000</x:v>
      </x:c>
      <x:c r="J23" s="43" t="n">
        <x:v>0.02</x:v>
      </x:c>
      <x:c r="K23" s="41" t="n">
        <x:v>12</x:v>
      </x:c>
      <x:c r="L23" s="44" t="b">
        <x:v>0</x:v>
      </x:c>
      <x:c r="M23" s="42" t="n">
        <x:f>(A23*997*I23)/(H23*1000+A23*997)</x:f>
        <x:v>4.984995029959955</x:v>
      </x:c>
      <x:c r="N23" s="42" t="n">
        <x:f>(A23*997*(1000000*F23/G23))/(1000000*1000+A23*997)</x:f>
        <x:v>4.984995029959955</x:v>
      </x:c>
      <x:c r="O23" s="43" t="n">
        <x:f>ABS(M23-N23)/N23</x:f>
        <x:v>0</x:v>
      </x:c>
      <x:c r="P23" s="45" t="n">
        <x:f>IF((A23*I23/H23)&lt;=M23,0,INT((((A23*I23/H23)-M23)*10000)/(A23*I23/H23)))</x:f>
        <x:v>30</x:v>
      </x:c>
      <x:c r="Q23" s="45" t="n">
        <x:f>IF(E23="SAFE",MIN(20,K23+ROUND(P23/10,0)),IF(E23="SHALLOW",MIN(75,K23+ROUND(P23/100,0)),MIN(95,K23)))</x:f>
        <x:v>15</x:v>
      </x:c>
      <x:c r="R23" s="45" t="n">
        <x:f>IF(O23&gt;'Assumptions'!$B$11,MIN(35,ROUND(O23*500,0)),0)</x:f>
        <x:v>0</x:v>
      </x:c>
      <x:c r="S23" s="45" t="n">
        <x:f>IF(J23&gt;'Assumptions'!$B$12,MIN(30,ROUND((J23-'Assumptions'!$B$12)*200,0)),0)</x:f>
        <x:v>0</x:v>
      </x:c>
      <x:c r="T23" s="45" t="n">
        <x:f>IF(Q23&gt;'Assumptions'!$B$13,ROUND(Q23/3,0),0)</x:f>
        <x:v>0</x:v>
      </x:c>
      <x:c r="U23" s="45" t="n">
        <x:f>IF(OR(D23="BAD",D23="BAIT"),100,MIN(100,R23+S23+T23))</x:f>
        <x:v>0</x:v>
      </x:c>
      <x:c r="V23" s="41" t="str">
        <x:f>IF(OR(D23="BAD",D23="BAIT"),"REJECT",IF(U23&gt;='Assumptions'!$B$15,"REJECT",IF(AND(U23&gt;='Assumptions'!$B$14,L23=TRUE),"FALLBACK","ALLOW")))</x:f>
        <x:v>ALLOW</x:v>
      </x:c>
    </x:row>
    <x:row r="24">
      <x:c r="A24" s="41" t="n">
        <x:v>1</x:v>
      </x:c>
      <x:c r="B24" s="41" t="str">
        <x:v>route-bad-good-shallow</x:v>
      </x:c>
      <x:c r="C24" s="41" t="str">
        <x:v>BAD</x:v>
      </x:c>
      <x:c r="D24" s="41" t="str">
        <x:v>GOOD</x:v>
      </x:c>
      <x:c r="E24" s="41" t="str">
        <x:v>SHALLOW</x:v>
      </x:c>
      <x:c r="F24" s="42" t="n">
        <x:v>100</x:v>
      </x:c>
      <x:c r="G24" s="42" t="n">
        <x:v>20</x:v>
      </x:c>
      <x:c r="H24" s="42" t="n">
        <x:v>500</x:v>
      </x:c>
      <x:c r="I24" s="42" t="n">
        <x:v>2500</x:v>
      </x:c>
      <x:c r="J24" s="43" t="n">
        <x:v>0.25</x:v>
      </x:c>
      <x:c r="K24" s="41" t="n">
        <x:v>55</x:v>
      </x:c>
      <x:c r="L24" s="44" t="b">
        <x:v>1</x:v>
      </x:c>
      <x:c r="M24" s="42" t="n">
        <x:f>(A24*997*I24)/(H24*1000+A24*997)</x:f>
        <x:v>4.975079691095955</x:v>
      </x:c>
      <x:c r="N24" s="42" t="n">
        <x:f>(A24*997*(1000000*F24/G24))/(1000000*1000+A24*997)</x:f>
        <x:v>4.984995029959955</x:v>
      </x:c>
      <x:c r="O24" s="43" t="n">
        <x:f>ABS(M24-N24)/N24</x:f>
        <x:v>0.001989036860500132</x:v>
      </x:c>
      <x:c r="P24" s="45" t="n">
        <x:f>IF((A24*I24/H24)&lt;=M24,0,INT((((A24*I24/H24)-M24)*10000)/(A24*I24/H24)))</x:f>
        <x:v>49</x:v>
      </x:c>
      <x:c r="Q24" s="45" t="n">
        <x:f>IF(E24="SAFE",MIN(20,K24+ROUND(P24/10,0)),IF(E24="SHALLOW",MIN(75,K24+ROUND(P24/100,0)),MIN(95,K24)))</x:f>
        <x:v>55</x:v>
      </x:c>
      <x:c r="R24" s="45" t="n">
        <x:f>IF(O24&gt;'Assumptions'!$B$11,MIN(35,ROUND(O24*500,0)),0)</x:f>
        <x:v>0</x:v>
      </x:c>
      <x:c r="S24" s="45" t="n">
        <x:f>IF(J24&gt;'Assumptions'!$B$12,MIN(30,ROUND((J24-'Assumptions'!$B$12)*200,0)),0)</x:f>
        <x:v>10</x:v>
      </x:c>
      <x:c r="T24" s="45" t="n">
        <x:f>IF(Q24&gt;'Assumptions'!$B$13,ROUND(Q24/3,0),0)</x:f>
        <x:v>0</x:v>
      </x:c>
      <x:c r="U24" s="45" t="n">
        <x:f>IF(OR(D24="BAD",D24="BAIT"),100,MIN(100,R24+S24+T24))</x:f>
        <x:v>10</x:v>
      </x:c>
      <x:c r="V24" s="41" t="str">
        <x:f>IF(OR(D24="BAD",D24="BAIT"),"REJECT",IF(U24&gt;='Assumptions'!$B$15,"REJECT",IF(AND(U24&gt;='Assumptions'!$B$14,L24=TRUE),"FALLBACK","ALLOW")))</x:f>
        <x:v>ALLOW</x:v>
      </x:c>
    </x:row>
    <x:row r="25">
      <x:c r="A25" s="41" t="n">
        <x:v>1</x:v>
      </x:c>
      <x:c r="B25" s="41" t="str">
        <x:v>route-bad-good-toxic</x:v>
      </x:c>
      <x:c r="C25" s="41" t="str">
        <x:v>BAD</x:v>
      </x:c>
      <x:c r="D25" s="41" t="str">
        <x:v>GOOD</x:v>
      </x:c>
      <x:c r="E25" s="41" t="str">
        <x:v>TOXIC</x:v>
      </x:c>
      <x:c r="F25" s="42" t="n">
        <x:v>100</x:v>
      </x:c>
      <x:c r="G25" s="42" t="n">
        <x:v>20</x:v>
      </x:c>
      <x:c r="H25" s="42" t="n">
        <x:v>40000</x:v>
      </x:c>
      <x:c r="I25" s="42" t="n">
        <x:v>250000</x:v>
      </x:c>
      <x:c r="J25" s="43" t="n">
        <x:v>0.35</x:v>
      </x:c>
      <x:c r="K25" s="41" t="n">
        <x:v>88</x:v>
      </x:c>
      <x:c r="L25" s="44" t="b">
        <x:v>1</x:v>
      </x:c>
      <x:c r="M25" s="42" t="n">
        <x:f>(A25*997*I25)/(H25*1000+A25*997)</x:f>
        <x:v>6.231094689964853</x:v>
      </x:c>
      <x:c r="N25" s="42" t="n">
        <x:f>(A25*997*(1000000*F25/G25))/(1000000*1000+A25*997)</x:f>
        <x:v>4.984995029959955</x:v>
      </x:c>
      <x:c r="O25" s="43" t="n">
        <x:f>ABS(M25-N25)/N25</x:f>
        <x:v>0.24997009074548826</x:v>
      </x:c>
      <x:c r="P25" s="45" t="n">
        <x:f>IF((A25*I25/H25)&lt;=M25,0,INT((((A25*I25/H25)-M25)*10000)/(A25*I25/H25)))</x:f>
        <x:v>30</x:v>
      </x:c>
      <x:c r="Q25" s="45" t="n">
        <x:f>IF(E25="SAFE",MIN(20,K25+ROUND(P25/10,0)),IF(E25="SHALLOW",MIN(75,K25+ROUND(P25/100,0)),MIN(95,K25)))</x:f>
        <x:v>88</x:v>
      </x:c>
      <x:c r="R25" s="45" t="n">
        <x:f>IF(O25&gt;'Assumptions'!$B$11,MIN(35,ROUND(O25*500,0)),0)</x:f>
        <x:v>35</x:v>
      </x:c>
      <x:c r="S25" s="45" t="n">
        <x:f>IF(J25&gt;'Assumptions'!$B$12,MIN(30,ROUND((J25-'Assumptions'!$B$12)*200,0)),0)</x:f>
        <x:v>30</x:v>
      </x:c>
      <x:c r="T25" s="45" t="n">
        <x:f>IF(Q25&gt;'Assumptions'!$B$13,ROUND(Q25/3,0),0)</x:f>
        <x:v>29</x:v>
      </x:c>
      <x:c r="U25" s="45" t="n">
        <x:f>IF(OR(D25="BAD",D25="BAIT"),100,MIN(100,R25+S25+T25))</x:f>
        <x:v>94</x:v>
      </x:c>
      <x:c r="V25" s="41" t="str">
        <x:f>IF(OR(D25="BAD",D25="BAIT"),"REJECT",IF(U25&gt;='Assumptions'!$B$15,"REJECT",IF(AND(U25&gt;='Assumptions'!$B$14,L25=TRUE),"FALLBACK","ALLOW")))</x:f>
        <x:v>REJECT</x:v>
      </x:c>
    </x:row>
    <x:row r="26">
      <x:c r="A26" s="41" t="n">
        <x:v>1</x:v>
      </x:c>
      <x:c r="B26" s="41" t="str">
        <x:v>route-bad-bait-safe</x:v>
      </x:c>
      <x:c r="C26" s="41" t="str">
        <x:v>BAD</x:v>
      </x:c>
      <x:c r="D26" s="41" t="str">
        <x:v>BAIT</x:v>
      </x:c>
      <x:c r="E26" s="41" t="str">
        <x:v>SAFE</x:v>
      </x:c>
      <x:c r="F26" s="42" t="n">
        <x:v>100</x:v>
      </x:c>
      <x:c r="G26" s="42" t="n">
        <x:v>1</x:v>
      </x:c>
      <x:c r="H26" s="42" t="n">
        <x:v>1000000</x:v>
      </x:c>
      <x:c r="I26" s="42" t="n">
        <x:v>100000000</x:v>
      </x:c>
      <x:c r="J26" s="43" t="n">
        <x:v>0.02</x:v>
      </x:c>
      <x:c r="K26" s="41" t="n">
        <x:v>12</x:v>
      </x:c>
      <x:c r="L26" s="44" t="b">
        <x:v>0</x:v>
      </x:c>
      <x:c r="M26" s="42" t="n">
        <x:f>(A26*997*I26)/(H26*1000+A26*997)</x:f>
        <x:v>99.6999005991991</x:v>
      </x:c>
      <x:c r="N26" s="42" t="n">
        <x:f>(A26*997*(1000000*F26/G26))/(1000000*1000+A26*997)</x:f>
        <x:v>99.6999005991991</x:v>
      </x:c>
      <x:c r="O26" s="43" t="n">
        <x:f>ABS(M26-N26)/N26</x:f>
        <x:v>0</x:v>
      </x:c>
      <x:c r="P26" s="45" t="n">
        <x:f>IF((A26*I26/H26)&lt;=M26,0,INT((((A26*I26/H26)-M26)*10000)/(A26*I26/H26)))</x:f>
        <x:v>30</x:v>
      </x:c>
      <x:c r="Q26" s="45" t="n">
        <x:f>IF(E26="SAFE",MIN(20,K26+ROUND(P26/10,0)),IF(E26="SHALLOW",MIN(75,K26+ROUND(P26/100,0)),MIN(95,K26)))</x:f>
        <x:v>15</x:v>
      </x:c>
      <x:c r="R26" s="45" t="n">
        <x:f>IF(O26&gt;'Assumptions'!$B$11,MIN(35,ROUND(O26*500,0)),0)</x:f>
        <x:v>0</x:v>
      </x:c>
      <x:c r="S26" s="45" t="n">
        <x:f>IF(J26&gt;'Assumptions'!$B$12,MIN(30,ROUND((J26-'Assumptions'!$B$12)*200,0)),0)</x:f>
        <x:v>0</x:v>
      </x:c>
      <x:c r="T26" s="45" t="n">
        <x:f>IF(Q26&gt;'Assumptions'!$B$13,ROUND(Q26/3,0),0)</x:f>
        <x:v>0</x:v>
      </x:c>
      <x:c r="U26" s="45" t="n">
        <x:f>IF(OR(D26="BAD",D26="BAIT"),100,MIN(100,R26+S26+T26))</x:f>
        <x:v>100</x:v>
      </x:c>
      <x:c r="V26" s="41" t="str">
        <x:f>IF(OR(D26="BAD",D26="BAIT"),"REJECT",IF(U26&gt;='Assumptions'!$B$15,"REJECT",IF(AND(U26&gt;='Assumptions'!$B$14,L26=TRUE),"FALLBACK","ALLOW")))</x:f>
        <x:v>REJECT</x:v>
      </x:c>
    </x:row>
    <x:row r="27">
      <x:c r="A27" s="41" t="n">
        <x:v>1</x:v>
      </x:c>
      <x:c r="B27" s="41" t="str">
        <x:v>route-bad-bait-shallow</x:v>
      </x:c>
      <x:c r="C27" s="41" t="str">
        <x:v>BAD</x:v>
      </x:c>
      <x:c r="D27" s="41" t="str">
        <x:v>BAIT</x:v>
      </x:c>
      <x:c r="E27" s="41" t="str">
        <x:v>SHALLOW</x:v>
      </x:c>
      <x:c r="F27" s="42" t="n">
        <x:v>100</x:v>
      </x:c>
      <x:c r="G27" s="42" t="n">
        <x:v>1</x:v>
      </x:c>
      <x:c r="H27" s="42" t="n">
        <x:v>500</x:v>
      </x:c>
      <x:c r="I27" s="42" t="n">
        <x:v>50000</x:v>
      </x:c>
      <x:c r="J27" s="43" t="n">
        <x:v>0.25</x:v>
      </x:c>
      <x:c r="K27" s="41" t="n">
        <x:v>55</x:v>
      </x:c>
      <x:c r="L27" s="44" t="b">
        <x:v>1</x:v>
      </x:c>
      <x:c r="M27" s="42" t="n">
        <x:f>(A27*997*I27)/(H27*1000+A27*997)</x:f>
        <x:v>99.50159382191909</x:v>
      </x:c>
      <x:c r="N27" s="42" t="n">
        <x:f>(A27*997*(1000000*F27/G27))/(1000000*1000+A27*997)</x:f>
        <x:v>99.6999005991991</x:v>
      </x:c>
      <x:c r="O27" s="43" t="n">
        <x:f>ABS(M27-N27)/N27</x:f>
        <x:v>0.001989036860500168</x:v>
      </x:c>
      <x:c r="P27" s="45" t="n">
        <x:f>IF((A27*I27/H27)&lt;=M27,0,INT((((A27*I27/H27)-M27)*10000)/(A27*I27/H27)))</x:f>
        <x:v>49</x:v>
      </x:c>
      <x:c r="Q27" s="45" t="n">
        <x:f>IF(E27="SAFE",MIN(20,K27+ROUND(P27/10,0)),IF(E27="SHALLOW",MIN(75,K27+ROUND(P27/100,0)),MIN(95,K27)))</x:f>
        <x:v>55</x:v>
      </x:c>
      <x:c r="R27" s="45" t="n">
        <x:f>IF(O27&gt;'Assumptions'!$B$11,MIN(35,ROUND(O27*500,0)),0)</x:f>
        <x:v>0</x:v>
      </x:c>
      <x:c r="S27" s="45" t="n">
        <x:f>IF(J27&gt;'Assumptions'!$B$12,MIN(30,ROUND((J27-'Assumptions'!$B$12)*200,0)),0)</x:f>
        <x:v>10</x:v>
      </x:c>
      <x:c r="T27" s="45" t="n">
        <x:f>IF(Q27&gt;'Assumptions'!$B$13,ROUND(Q27/3,0),0)</x:f>
        <x:v>0</x:v>
      </x:c>
      <x:c r="U27" s="45" t="n">
        <x:f>IF(OR(D27="BAD",D27="BAIT"),100,MIN(100,R27+S27+T27))</x:f>
        <x:v>100</x:v>
      </x:c>
      <x:c r="V27" s="41" t="str">
        <x:f>IF(OR(D27="BAD",D27="BAIT"),"REJECT",IF(U27&gt;='Assumptions'!$B$15,"REJECT",IF(AND(U27&gt;='Assumptions'!$B$14,L27=TRUE),"FALLBACK","ALLOW")))</x:f>
        <x:v>REJECT</x:v>
      </x:c>
    </x:row>
    <x:row r="28">
      <x:c r="A28" s="41" t="n">
        <x:v>1</x:v>
      </x:c>
      <x:c r="B28" s="41" t="str">
        <x:v>route-bad-bait-toxic</x:v>
      </x:c>
      <x:c r="C28" s="41" t="str">
        <x:v>BAD</x:v>
      </x:c>
      <x:c r="D28" s="41" t="str">
        <x:v>BAIT</x:v>
      </x:c>
      <x:c r="E28" s="41" t="str">
        <x:v>TOXIC</x:v>
      </x:c>
      <x:c r="F28" s="42" t="n">
        <x:v>100</x:v>
      </x:c>
      <x:c r="G28" s="42" t="n">
        <x:v>1</x:v>
      </x:c>
      <x:c r="H28" s="42" t="n">
        <x:v>40000</x:v>
      </x:c>
      <x:c r="I28" s="42" t="n">
        <x:v>5000000</x:v>
      </x:c>
      <x:c r="J28" s="43" t="n">
        <x:v>0.35</x:v>
      </x:c>
      <x:c r="K28" s="41" t="n">
        <x:v>88</x:v>
      </x:c>
      <x:c r="L28" s="44" t="b">
        <x:v>1</x:v>
      </x:c>
      <x:c r="M28" s="42" t="n">
        <x:f>(A28*997*I28)/(H28*1000+A28*997)</x:f>
        <x:v>124.62189379929706</x:v>
      </x:c>
      <x:c r="N28" s="42" t="n">
        <x:f>(A28*997*(1000000*F28/G28))/(1000000*1000+A28*997)</x:f>
        <x:v>99.6999005991991</x:v>
      </x:c>
      <x:c r="O28" s="43" t="n">
        <x:f>ABS(M28-N28)/N28</x:f>
        <x:v>0.24997009074548826</x:v>
      </x:c>
      <x:c r="P28" s="45" t="n">
        <x:f>IF((A28*I28/H28)&lt;=M28,0,INT((((A28*I28/H28)-M28)*10000)/(A28*I28/H28)))</x:f>
        <x:v>30</x:v>
      </x:c>
      <x:c r="Q28" s="45" t="n">
        <x:f>IF(E28="SAFE",MIN(20,K28+ROUND(P28/10,0)),IF(E28="SHALLOW",MIN(75,K28+ROUND(P28/100,0)),MIN(95,K28)))</x:f>
        <x:v>88</x:v>
      </x:c>
      <x:c r="R28" s="45" t="n">
        <x:f>IF(O28&gt;'Assumptions'!$B$11,MIN(35,ROUND(O28*500,0)),0)</x:f>
        <x:v>35</x:v>
      </x:c>
      <x:c r="S28" s="45" t="n">
        <x:f>IF(J28&gt;'Assumptions'!$B$12,MIN(30,ROUND((J28-'Assumptions'!$B$12)*200,0)),0)</x:f>
        <x:v>30</x:v>
      </x:c>
      <x:c r="T28" s="45" t="n">
        <x:f>IF(Q28&gt;'Assumptions'!$B$13,ROUND(Q28/3,0),0)</x:f>
        <x:v>29</x:v>
      </x:c>
      <x:c r="U28" s="45" t="n">
        <x:f>IF(OR(D28="BAD",D28="BAIT"),100,MIN(100,R28+S28+T28))</x:f>
        <x:v>100</x:v>
      </x:c>
      <x:c r="V28" s="41" t="str">
        <x:f>IF(OR(D28="BAD",D28="BAIT"),"REJECT",IF(U28&gt;='Assumptions'!$B$15,"REJECT",IF(AND(U28&gt;='Assumptions'!$B$14,L28=TRUE),"FALLBACK","ALLOW")))</x:f>
        <x:v>REJECT</x:v>
      </x:c>
    </x:row>
    <x:row r="29">
      <x:c r="A29" s="41" t="n">
        <x:v>1</x:v>
      </x:c>
      <x:c r="B29" s="41" t="str">
        <x:v>route-bait-usdc-safe</x:v>
      </x:c>
      <x:c r="C29" s="41" t="str">
        <x:v>BAIT</x:v>
      </x:c>
      <x:c r="D29" s="41" t="str">
        <x:v>USDC</x:v>
      </x:c>
      <x:c r="E29" s="41" t="str">
        <x:v>SAFE</x:v>
      </x:c>
      <x:c r="F29" s="42" t="n">
        <x:v>1</x:v>
      </x:c>
      <x:c r="G29" s="42" t="n">
        <x:v>1</x:v>
      </x:c>
      <x:c r="H29" s="42" t="n">
        <x:v>1000000</x:v>
      </x:c>
      <x:c r="I29" s="42" t="n">
        <x:v>1000000</x:v>
      </x:c>
      <x:c r="J29" s="43" t="n">
        <x:v>0.02</x:v>
      </x:c>
      <x:c r="K29" s="41" t="n">
        <x:v>12</x:v>
      </x:c>
      <x:c r="L29" s="44" t="b">
        <x:v>0</x:v>
      </x:c>
      <x:c r="M29" s="42" t="n">
        <x:f>(A29*997*I29)/(H29*1000+A29*997)</x:f>
        <x:v>0.996999005991991</x:v>
      </x:c>
      <x:c r="N29" s="42" t="n">
        <x:f>(A29*997*(1000000*F29/G29))/(1000000*1000+A29*997)</x:f>
        <x:v>0.996999005991991</x:v>
      </x:c>
      <x:c r="O29" s="43" t="n">
        <x:f>ABS(M29-N29)/N29</x:f>
        <x:v>0</x:v>
      </x:c>
      <x:c r="P29" s="45" t="n">
        <x:f>IF((A29*I29/H29)&lt;=M29,0,INT((((A29*I29/H29)-M29)*10000)/(A29*I29/H29)))</x:f>
        <x:v>30</x:v>
      </x:c>
      <x:c r="Q29" s="45" t="n">
        <x:f>IF(E29="SAFE",MIN(20,K29+ROUND(P29/10,0)),IF(E29="SHALLOW",MIN(75,K29+ROUND(P29/100,0)),MIN(95,K29)))</x:f>
        <x:v>15</x:v>
      </x:c>
      <x:c r="R29" s="45" t="n">
        <x:f>IF(O29&gt;'Assumptions'!$B$11,MIN(35,ROUND(O29*500,0)),0)</x:f>
        <x:v>0</x:v>
      </x:c>
      <x:c r="S29" s="45" t="n">
        <x:f>IF(J29&gt;'Assumptions'!$B$12,MIN(30,ROUND((J29-'Assumptions'!$B$12)*200,0)),0)</x:f>
        <x:v>0</x:v>
      </x:c>
      <x:c r="T29" s="45" t="n">
        <x:f>IF(Q29&gt;'Assumptions'!$B$13,ROUND(Q29/3,0),0)</x:f>
        <x:v>0</x:v>
      </x:c>
      <x:c r="U29" s="45" t="n">
        <x:f>IF(OR(D29="BAD",D29="BAIT"),100,MIN(100,R29+S29+T29))</x:f>
        <x:v>0</x:v>
      </x:c>
      <x:c r="V29" s="41" t="str">
        <x:f>IF(OR(D29="BAD",D29="BAIT"),"REJECT",IF(U29&gt;='Assumptions'!$B$15,"REJECT",IF(AND(U29&gt;='Assumptions'!$B$14,L29=TRUE),"FALLBACK","ALLOW")))</x:f>
        <x:v>ALLOW</x:v>
      </x:c>
    </x:row>
    <x:row r="30">
      <x:c r="A30" s="41" t="n">
        <x:v>1</x:v>
      </x:c>
      <x:c r="B30" s="41" t="str">
        <x:v>route-bait-usdc-shallow</x:v>
      </x:c>
      <x:c r="C30" s="41" t="str">
        <x:v>BAIT</x:v>
      </x:c>
      <x:c r="D30" s="41" t="str">
        <x:v>USDC</x:v>
      </x:c>
      <x:c r="E30" s="41" t="str">
        <x:v>SHALLOW</x:v>
      </x:c>
      <x:c r="F30" s="42" t="n">
        <x:v>1</x:v>
      </x:c>
      <x:c r="G30" s="42" t="n">
        <x:v>1</x:v>
      </x:c>
      <x:c r="H30" s="42" t="n">
        <x:v>500</x:v>
      </x:c>
      <x:c r="I30" s="42" t="n">
        <x:v>500</x:v>
      </x:c>
      <x:c r="J30" s="43" t="n">
        <x:v>0.25</x:v>
      </x:c>
      <x:c r="K30" s="41" t="n">
        <x:v>55</x:v>
      </x:c>
      <x:c r="L30" s="44" t="b">
        <x:v>1</x:v>
      </x:c>
      <x:c r="M30" s="42" t="n">
        <x:f>(A30*997*I30)/(H30*1000+A30*997)</x:f>
        <x:v>0.995015938219191</x:v>
      </x:c>
      <x:c r="N30" s="42" t="n">
        <x:f>(A30*997*(1000000*F30/G30))/(1000000*1000+A30*997)</x:f>
        <x:v>0.996999005991991</x:v>
      </x:c>
      <x:c r="O30" s="43" t="n">
        <x:f>ABS(M30-N30)/N30</x:f>
        <x:v>0.0019890368605000653</x:v>
      </x:c>
      <x:c r="P30" s="45" t="n">
        <x:f>IF((A30*I30/H30)&lt;=M30,0,INT((((A30*I30/H30)-M30)*10000)/(A30*I30/H30)))</x:f>
        <x:v>49</x:v>
      </x:c>
      <x:c r="Q30" s="45" t="n">
        <x:f>IF(E30="SAFE",MIN(20,K30+ROUND(P30/10,0)),IF(E30="SHALLOW",MIN(75,K30+ROUND(P30/100,0)),MIN(95,K30)))</x:f>
        <x:v>55</x:v>
      </x:c>
      <x:c r="R30" s="45" t="n">
        <x:f>IF(O30&gt;'Assumptions'!$B$11,MIN(35,ROUND(O30*500,0)),0)</x:f>
        <x:v>0</x:v>
      </x:c>
      <x:c r="S30" s="45" t="n">
        <x:f>IF(J30&gt;'Assumptions'!$B$12,MIN(30,ROUND((J30-'Assumptions'!$B$12)*200,0)),0)</x:f>
        <x:v>10</x:v>
      </x:c>
      <x:c r="T30" s="45" t="n">
        <x:f>IF(Q30&gt;'Assumptions'!$B$13,ROUND(Q30/3,0),0)</x:f>
        <x:v>0</x:v>
      </x:c>
      <x:c r="U30" s="45" t="n">
        <x:f>IF(OR(D30="BAD",D30="BAIT"),100,MIN(100,R30+S30+T30))</x:f>
        <x:v>10</x:v>
      </x:c>
      <x:c r="V30" s="41" t="str">
        <x:f>IF(OR(D30="BAD",D30="BAIT"),"REJECT",IF(U30&gt;='Assumptions'!$B$15,"REJECT",IF(AND(U30&gt;='Assumptions'!$B$14,L30=TRUE),"FALLBACK","ALLOW")))</x:f>
        <x:v>ALLOW</x:v>
      </x:c>
    </x:row>
    <x:row r="31">
      <x:c r="A31" s="41" t="n">
        <x:v>1</x:v>
      </x:c>
      <x:c r="B31" s="41" t="str">
        <x:v>route-bait-usdc-toxic</x:v>
      </x:c>
      <x:c r="C31" s="41" t="str">
        <x:v>BAIT</x:v>
      </x:c>
      <x:c r="D31" s="41" t="str">
        <x:v>USDC</x:v>
      </x:c>
      <x:c r="E31" s="41" t="str">
        <x:v>TOXIC</x:v>
      </x:c>
      <x:c r="F31" s="42" t="n">
        <x:v>1</x:v>
      </x:c>
      <x:c r="G31" s="42" t="n">
        <x:v>1</x:v>
      </x:c>
      <x:c r="H31" s="42" t="n">
        <x:v>40000</x:v>
      </x:c>
      <x:c r="I31" s="42" t="n">
        <x:v>50000</x:v>
      </x:c>
      <x:c r="J31" s="43" t="n">
        <x:v>0.35</x:v>
      </x:c>
      <x:c r="K31" s="41" t="n">
        <x:v>88</x:v>
      </x:c>
      <x:c r="L31" s="44" t="b">
        <x:v>1</x:v>
      </x:c>
      <x:c r="M31" s="42" t="n">
        <x:f>(A31*997*I31)/(H31*1000+A31*997)</x:f>
        <x:v>1.2462189379929705</x:v>
      </x:c>
      <x:c r="N31" s="42" t="n">
        <x:f>(A31*997*(1000000*F31/G31))/(1000000*1000+A31*997)</x:f>
        <x:v>0.996999005991991</x:v>
      </x:c>
      <x:c r="O31" s="43" t="n">
        <x:f>ABS(M31-N31)/N31</x:f>
        <x:v>0.24997009074548815</x:v>
      </x:c>
      <x:c r="P31" s="45" t="n">
        <x:f>IF((A31*I31/H31)&lt;=M31,0,INT((((A31*I31/H31)-M31)*10000)/(A31*I31/H31)))</x:f>
        <x:v>30</x:v>
      </x:c>
      <x:c r="Q31" s="45" t="n">
        <x:f>IF(E31="SAFE",MIN(20,K31+ROUND(P31/10,0)),IF(E31="SHALLOW",MIN(75,K31+ROUND(P31/100,0)),MIN(95,K31)))</x:f>
        <x:v>88</x:v>
      </x:c>
      <x:c r="R31" s="45" t="n">
        <x:f>IF(O31&gt;'Assumptions'!$B$11,MIN(35,ROUND(O31*500,0)),0)</x:f>
        <x:v>35</x:v>
      </x:c>
      <x:c r="S31" s="45" t="n">
        <x:f>IF(J31&gt;'Assumptions'!$B$12,MIN(30,ROUND((J31-'Assumptions'!$B$12)*200,0)),0)</x:f>
        <x:v>30</x:v>
      </x:c>
      <x:c r="T31" s="45" t="n">
        <x:f>IF(Q31&gt;'Assumptions'!$B$13,ROUND(Q31/3,0),0)</x:f>
        <x:v>29</x:v>
      </x:c>
      <x:c r="U31" s="45" t="n">
        <x:f>IF(OR(D31="BAD",D31="BAIT"),100,MIN(100,R31+S31+T31))</x:f>
        <x:v>94</x:v>
      </x:c>
      <x:c r="V31" s="41" t="str">
        <x:f>IF(OR(D31="BAD",D31="BAIT"),"REJECT",IF(U31&gt;='Assumptions'!$B$15,"REJECT",IF(AND(U31&gt;='Assumptions'!$B$14,L31=TRUE),"FALLBACK","ALLOW")))</x:f>
        <x:v>REJECT</x:v>
      </x:c>
    </x:row>
    <x:row r="32">
      <x:c r="A32" s="41" t="n">
        <x:v>1</x:v>
      </x:c>
      <x:c r="B32" s="41" t="str">
        <x:v>route-bait-good-safe</x:v>
      </x:c>
      <x:c r="C32" s="41" t="str">
        <x:v>BAIT</x:v>
      </x:c>
      <x:c r="D32" s="41" t="str">
        <x:v>GOOD</x:v>
      </x:c>
      <x:c r="E32" s="41" t="str">
        <x:v>SAFE</x:v>
      </x:c>
      <x:c r="F32" s="42" t="n">
        <x:v>1</x:v>
      </x:c>
      <x:c r="G32" s="42" t="n">
        <x:v>20</x:v>
      </x:c>
      <x:c r="H32" s="42" t="n">
        <x:v>1000000</x:v>
      </x:c>
      <x:c r="I32" s="42" t="n">
        <x:v>50000</x:v>
      </x:c>
      <x:c r="J32" s="43" t="n">
        <x:v>0.02</x:v>
      </x:c>
      <x:c r="K32" s="41" t="n">
        <x:v>12</x:v>
      </x:c>
      <x:c r="L32" s="44" t="b">
        <x:v>0</x:v>
      </x:c>
      <x:c r="M32" s="42" t="n">
        <x:f>(A32*997*I32)/(H32*1000+A32*997)</x:f>
        <x:v>0.04984995029959955</x:v>
      </x:c>
      <x:c r="N32" s="42" t="n">
        <x:f>(A32*997*(1000000*F32/G32))/(1000000*1000+A32*997)</x:f>
        <x:v>0.04984995029959955</x:v>
      </x:c>
      <x:c r="O32" s="43" t="n">
        <x:f>ABS(M32-N32)/N32</x:f>
        <x:v>0</x:v>
      </x:c>
      <x:c r="P32" s="45" t="n">
        <x:f>IF((A32*I32/H32)&lt;=M32,0,INT((((A32*I32/H32)-M32)*10000)/(A32*I32/H32)))</x:f>
        <x:v>30</x:v>
      </x:c>
      <x:c r="Q32" s="45" t="n">
        <x:f>IF(E32="SAFE",MIN(20,K32+ROUND(P32/10,0)),IF(E32="SHALLOW",MIN(75,K32+ROUND(P32/100,0)),MIN(95,K32)))</x:f>
        <x:v>15</x:v>
      </x:c>
      <x:c r="R32" s="45" t="n">
        <x:f>IF(O32&gt;'Assumptions'!$B$11,MIN(35,ROUND(O32*500,0)),0)</x:f>
        <x:v>0</x:v>
      </x:c>
      <x:c r="S32" s="45" t="n">
        <x:f>IF(J32&gt;'Assumptions'!$B$12,MIN(30,ROUND((J32-'Assumptions'!$B$12)*200,0)),0)</x:f>
        <x:v>0</x:v>
      </x:c>
      <x:c r="T32" s="45" t="n">
        <x:f>IF(Q32&gt;'Assumptions'!$B$13,ROUND(Q32/3,0),0)</x:f>
        <x:v>0</x:v>
      </x:c>
      <x:c r="U32" s="45" t="n">
        <x:f>IF(OR(D32="BAD",D32="BAIT"),100,MIN(100,R32+S32+T32))</x:f>
        <x:v>0</x:v>
      </x:c>
      <x:c r="V32" s="41" t="str">
        <x:f>IF(OR(D32="BAD",D32="BAIT"),"REJECT",IF(U32&gt;='Assumptions'!$B$15,"REJECT",IF(AND(U32&gt;='Assumptions'!$B$14,L32=TRUE),"FALLBACK","ALLOW")))</x:f>
        <x:v>ALLOW</x:v>
      </x:c>
    </x:row>
    <x:row r="33">
      <x:c r="A33" s="41" t="n">
        <x:v>1</x:v>
      </x:c>
      <x:c r="B33" s="41" t="str">
        <x:v>route-bait-good-shallow</x:v>
      </x:c>
      <x:c r="C33" s="41" t="str">
        <x:v>BAIT</x:v>
      </x:c>
      <x:c r="D33" s="41" t="str">
        <x:v>GOOD</x:v>
      </x:c>
      <x:c r="E33" s="41" t="str">
        <x:v>SHALLOW</x:v>
      </x:c>
      <x:c r="F33" s="42" t="n">
        <x:v>1</x:v>
      </x:c>
      <x:c r="G33" s="42" t="n">
        <x:v>20</x:v>
      </x:c>
      <x:c r="H33" s="42" t="n">
        <x:v>500</x:v>
      </x:c>
      <x:c r="I33" s="42" t="n">
        <x:v>25</x:v>
      </x:c>
      <x:c r="J33" s="43" t="n">
        <x:v>0.25</x:v>
      </x:c>
      <x:c r="K33" s="41" t="n">
        <x:v>55</x:v>
      </x:c>
      <x:c r="L33" s="44" t="b">
        <x:v>1</x:v>
      </x:c>
      <x:c r="M33" s="42" t="n">
        <x:f>(A33*997*I33)/(H33*1000+A33*997)</x:f>
        <x:v>0.049750796910959544</x:v>
      </x:c>
      <x:c r="N33" s="42" t="n">
        <x:f>(A33*997*(1000000*F33/G33))/(1000000*1000+A33*997)</x:f>
        <x:v>0.04984995029959955</x:v>
      </x:c>
      <x:c r="O33" s="43" t="n">
        <x:f>ABS(M33-N33)/N33</x:f>
        <x:v>0.0019890368605002045</x:v>
      </x:c>
      <x:c r="P33" s="45" t="n">
        <x:f>IF((A33*I33/H33)&lt;=M33,0,INT((((A33*I33/H33)-M33)*10000)/(A33*I33/H33)))</x:f>
        <x:v>49</x:v>
      </x:c>
      <x:c r="Q33" s="45" t="n">
        <x:f>IF(E33="SAFE",MIN(20,K33+ROUND(P33/10,0)),IF(E33="SHALLOW",MIN(75,K33+ROUND(P33/100,0)),MIN(95,K33)))</x:f>
        <x:v>55</x:v>
      </x:c>
      <x:c r="R33" s="45" t="n">
        <x:f>IF(O33&gt;'Assumptions'!$B$11,MIN(35,ROUND(O33*500,0)),0)</x:f>
        <x:v>0</x:v>
      </x:c>
      <x:c r="S33" s="45" t="n">
        <x:f>IF(J33&gt;'Assumptions'!$B$12,MIN(30,ROUND((J33-'Assumptions'!$B$12)*200,0)),0)</x:f>
        <x:v>10</x:v>
      </x:c>
      <x:c r="T33" s="45" t="n">
        <x:f>IF(Q33&gt;'Assumptions'!$B$13,ROUND(Q33/3,0),0)</x:f>
        <x:v>0</x:v>
      </x:c>
      <x:c r="U33" s="45" t="n">
        <x:f>IF(OR(D33="BAD",D33="BAIT"),100,MIN(100,R33+S33+T33))</x:f>
        <x:v>10</x:v>
      </x:c>
      <x:c r="V33" s="41" t="str">
        <x:f>IF(OR(D33="BAD",D33="BAIT"),"REJECT",IF(U33&gt;='Assumptions'!$B$15,"REJECT",IF(AND(U33&gt;='Assumptions'!$B$14,L33=TRUE),"FALLBACK","ALLOW")))</x:f>
        <x:v>ALLOW</x:v>
      </x:c>
    </x:row>
    <x:row r="34">
      <x:c r="A34" s="41" t="n">
        <x:v>1</x:v>
      </x:c>
      <x:c r="B34" s="41" t="str">
        <x:v>route-bait-good-toxic</x:v>
      </x:c>
      <x:c r="C34" s="41" t="str">
        <x:v>BAIT</x:v>
      </x:c>
      <x:c r="D34" s="41" t="str">
        <x:v>GOOD</x:v>
      </x:c>
      <x:c r="E34" s="41" t="str">
        <x:v>TOXIC</x:v>
      </x:c>
      <x:c r="F34" s="42" t="n">
        <x:v>1</x:v>
      </x:c>
      <x:c r="G34" s="42" t="n">
        <x:v>20</x:v>
      </x:c>
      <x:c r="H34" s="42" t="n">
        <x:v>40000</x:v>
      </x:c>
      <x:c r="I34" s="42" t="n">
        <x:v>2500</x:v>
      </x:c>
      <x:c r="J34" s="43" t="n">
        <x:v>0.35</x:v>
      </x:c>
      <x:c r="K34" s="41" t="n">
        <x:v>88</x:v>
      </x:c>
      <x:c r="L34" s="44" t="b">
        <x:v>1</x:v>
      </x:c>
      <x:c r="M34" s="42" t="n">
        <x:f>(A34*997*I34)/(H34*1000+A34*997)</x:f>
        <x:v>0.06231094689964853</x:v>
      </x:c>
      <x:c r="N34" s="42" t="n">
        <x:f>(A34*997*(1000000*F34/G34))/(1000000*1000+A34*997)</x:f>
        <x:v>0.04984995029959955</x:v>
      </x:c>
      <x:c r="O34" s="43" t="n">
        <x:f>ABS(M34-N34)/N34</x:f>
        <x:v>0.24997009074548823</x:v>
      </x:c>
      <x:c r="P34" s="45" t="n">
        <x:f>IF((A34*I34/H34)&lt;=M34,0,INT((((A34*I34/H34)-M34)*10000)/(A34*I34/H34)))</x:f>
        <x:v>30</x:v>
      </x:c>
      <x:c r="Q34" s="45" t="n">
        <x:f>IF(E34="SAFE",MIN(20,K34+ROUND(P34/10,0)),IF(E34="SHALLOW",MIN(75,K34+ROUND(P34/100,0)),MIN(95,K34)))</x:f>
        <x:v>88</x:v>
      </x:c>
      <x:c r="R34" s="45" t="n">
        <x:f>IF(O34&gt;'Assumptions'!$B$11,MIN(35,ROUND(O34*500,0)),0)</x:f>
        <x:v>35</x:v>
      </x:c>
      <x:c r="S34" s="45" t="n">
        <x:f>IF(J34&gt;'Assumptions'!$B$12,MIN(30,ROUND((J34-'Assumptions'!$B$12)*200,0)),0)</x:f>
        <x:v>30</x:v>
      </x:c>
      <x:c r="T34" s="45" t="n">
        <x:f>IF(Q34&gt;'Assumptions'!$B$13,ROUND(Q34/3,0),0)</x:f>
        <x:v>29</x:v>
      </x:c>
      <x:c r="U34" s="45" t="n">
        <x:f>IF(OR(D34="BAD",D34="BAIT"),100,MIN(100,R34+S34+T34))</x:f>
        <x:v>94</x:v>
      </x:c>
      <x:c r="V34" s="41" t="str">
        <x:f>IF(OR(D34="BAD",D34="BAIT"),"REJECT",IF(U34&gt;='Assumptions'!$B$15,"REJECT",IF(AND(U34&gt;='Assumptions'!$B$14,L34=TRUE),"FALLBACK","ALLOW")))</x:f>
        <x:v>REJECT</x:v>
      </x:c>
    </x:row>
    <x:row r="35">
      <x:c r="A35" s="41" t="n">
        <x:v>1</x:v>
      </x:c>
      <x:c r="B35" s="41" t="str">
        <x:v>route-bait-bad-safe</x:v>
      </x:c>
      <x:c r="C35" s="41" t="str">
        <x:v>BAIT</x:v>
      </x:c>
      <x:c r="D35" s="41" t="str">
        <x:v>BAD</x:v>
      </x:c>
      <x:c r="E35" s="41" t="str">
        <x:v>SAFE</x:v>
      </x:c>
      <x:c r="F35" s="42" t="n">
        <x:v>1</x:v>
      </x:c>
      <x:c r="G35" s="42" t="n">
        <x:v>100</x:v>
      </x:c>
      <x:c r="H35" s="42" t="n">
        <x:v>1000000</x:v>
      </x:c>
      <x:c r="I35" s="42" t="n">
        <x:v>10000</x:v>
      </x:c>
      <x:c r="J35" s="43" t="n">
        <x:v>0.02</x:v>
      </x:c>
      <x:c r="K35" s="41" t="n">
        <x:v>12</x:v>
      </x:c>
      <x:c r="L35" s="44" t="b">
        <x:v>0</x:v>
      </x:c>
      <x:c r="M35" s="42" t="n">
        <x:f>(A35*997*I35)/(H35*1000+A35*997)</x:f>
        <x:v>0.00996999005991991</x:v>
      </x:c>
      <x:c r="N35" s="42" t="n">
        <x:f>(A35*997*(1000000*F35/G35))/(1000000*1000+A35*997)</x:f>
        <x:v>0.00996999005991991</x:v>
      </x:c>
      <x:c r="O35" s="43" t="n">
        <x:f>ABS(M35-N35)/N35</x:f>
        <x:v>0</x:v>
      </x:c>
      <x:c r="P35" s="45" t="n">
        <x:f>IF((A35*I35/H35)&lt;=M35,0,INT((((A35*I35/H35)-M35)*10000)/(A35*I35/H35)))</x:f>
        <x:v>30</x:v>
      </x:c>
      <x:c r="Q35" s="45" t="n">
        <x:f>IF(E35="SAFE",MIN(20,K35+ROUND(P35/10,0)),IF(E35="SHALLOW",MIN(75,K35+ROUND(P35/100,0)),MIN(95,K35)))</x:f>
        <x:v>15</x:v>
      </x:c>
      <x:c r="R35" s="45" t="n">
        <x:f>IF(O35&gt;'Assumptions'!$B$11,MIN(35,ROUND(O35*500,0)),0)</x:f>
        <x:v>0</x:v>
      </x:c>
      <x:c r="S35" s="45" t="n">
        <x:f>IF(J35&gt;'Assumptions'!$B$12,MIN(30,ROUND((J35-'Assumptions'!$B$12)*200,0)),0)</x:f>
        <x:v>0</x:v>
      </x:c>
      <x:c r="T35" s="45" t="n">
        <x:f>IF(Q35&gt;'Assumptions'!$B$13,ROUND(Q35/3,0),0)</x:f>
        <x:v>0</x:v>
      </x:c>
      <x:c r="U35" s="45" t="n">
        <x:f>IF(OR(D35="BAD",D35="BAIT"),100,MIN(100,R35+S35+T35))</x:f>
        <x:v>100</x:v>
      </x:c>
      <x:c r="V35" s="41" t="str">
        <x:f>IF(OR(D35="BAD",D35="BAIT"),"REJECT",IF(U35&gt;='Assumptions'!$B$15,"REJECT",IF(AND(U35&gt;='Assumptions'!$B$14,L35=TRUE),"FALLBACK","ALLOW")))</x:f>
        <x:v>REJECT</x:v>
      </x:c>
    </x:row>
    <x:row r="36">
      <x:c r="A36" s="41" t="n">
        <x:v>1</x:v>
      </x:c>
      <x:c r="B36" s="41" t="str">
        <x:v>route-bait-bad-shallow</x:v>
      </x:c>
      <x:c r="C36" s="41" t="str">
        <x:v>BAIT</x:v>
      </x:c>
      <x:c r="D36" s="41" t="str">
        <x:v>BAD</x:v>
      </x:c>
      <x:c r="E36" s="41" t="str">
        <x:v>SHALLOW</x:v>
      </x:c>
      <x:c r="F36" s="42" t="n">
        <x:v>1</x:v>
      </x:c>
      <x:c r="G36" s="42" t="n">
        <x:v>100</x:v>
      </x:c>
      <x:c r="H36" s="42" t="n">
        <x:v>500</x:v>
      </x:c>
      <x:c r="I36" s="42" t="n">
        <x:v>5</x:v>
      </x:c>
      <x:c r="J36" s="43" t="n">
        <x:v>0.25</x:v>
      </x:c>
      <x:c r="K36" s="41" t="n">
        <x:v>55</x:v>
      </x:c>
      <x:c r="L36" s="44" t="b">
        <x:v>1</x:v>
      </x:c>
      <x:c r="M36" s="42" t="n">
        <x:f>(A36*997*I36)/(H36*1000+A36*997)</x:f>
        <x:v>0.00995015938219191</x:v>
      </x:c>
      <x:c r="N36" s="42" t="n">
        <x:f>(A36*997*(1000000*F36/G36))/(1000000*1000+A36*997)</x:f>
        <x:v>0.00996999005991991</x:v>
      </x:c>
      <x:c r="O36" s="43" t="n">
        <x:f>ABS(M36-N36)/N36</x:f>
        <x:v>0.0019890368605001347</x:v>
      </x:c>
      <x:c r="P36" s="45" t="n">
        <x:f>IF((A36*I36/H36)&lt;=M36,0,INT((((A36*I36/H36)-M36)*10000)/(A36*I36/H36)))</x:f>
        <x:v>49</x:v>
      </x:c>
      <x:c r="Q36" s="45" t="n">
        <x:f>IF(E36="SAFE",MIN(20,K36+ROUND(P36/10,0)),IF(E36="SHALLOW",MIN(75,K36+ROUND(P36/100,0)),MIN(95,K36)))</x:f>
        <x:v>55</x:v>
      </x:c>
      <x:c r="R36" s="45" t="n">
        <x:f>IF(O36&gt;'Assumptions'!$B$11,MIN(35,ROUND(O36*500,0)),0)</x:f>
        <x:v>0</x:v>
      </x:c>
      <x:c r="S36" s="45" t="n">
        <x:f>IF(J36&gt;'Assumptions'!$B$12,MIN(30,ROUND((J36-'Assumptions'!$B$12)*200,0)),0)</x:f>
        <x:v>10</x:v>
      </x:c>
      <x:c r="T36" s="45" t="n">
        <x:f>IF(Q36&gt;'Assumptions'!$B$13,ROUND(Q36/3,0),0)</x:f>
        <x:v>0</x:v>
      </x:c>
      <x:c r="U36" s="45" t="n">
        <x:f>IF(OR(D36="BAD",D36="BAIT"),100,MIN(100,R36+S36+T36))</x:f>
        <x:v>100</x:v>
      </x:c>
      <x:c r="V36" s="41" t="str">
        <x:f>IF(OR(D36="BAD",D36="BAIT"),"REJECT",IF(U36&gt;='Assumptions'!$B$15,"REJECT",IF(AND(U36&gt;='Assumptions'!$B$14,L36=TRUE),"FALLBACK","ALLOW")))</x:f>
        <x:v>REJECT</x:v>
      </x:c>
    </x:row>
    <x:row r="37">
      <x:c r="A37" s="41" t="n">
        <x:v>1</x:v>
      </x:c>
      <x:c r="B37" s="41" t="str">
        <x:v>route-bait-bad-toxic</x:v>
      </x:c>
      <x:c r="C37" s="41" t="str">
        <x:v>BAIT</x:v>
      </x:c>
      <x:c r="D37" s="41" t="str">
        <x:v>BAD</x:v>
      </x:c>
      <x:c r="E37" s="41" t="str">
        <x:v>TOXIC</x:v>
      </x:c>
      <x:c r="F37" s="42" t="n">
        <x:v>1</x:v>
      </x:c>
      <x:c r="G37" s="42" t="n">
        <x:v>100</x:v>
      </x:c>
      <x:c r="H37" s="42" t="n">
        <x:v>40000</x:v>
      </x:c>
      <x:c r="I37" s="42" t="n">
        <x:v>500</x:v>
      </x:c>
      <x:c r="J37" s="43" t="n">
        <x:v>0.35</x:v>
      </x:c>
      <x:c r="K37" s="41" t="n">
        <x:v>88</x:v>
      </x:c>
      <x:c r="L37" s="44" t="b">
        <x:v>1</x:v>
      </x:c>
      <x:c r="M37" s="42" t="n">
        <x:f>(A37*997*I37)/(H37*1000+A37*997)</x:f>
        <x:v>0.012462189379929706</x:v>
      </x:c>
      <x:c r="N37" s="42" t="n">
        <x:f>(A37*997*(1000000*F37/G37))/(1000000*1000+A37*997)</x:f>
        <x:v>0.00996999005991991</x:v>
      </x:c>
      <x:c r="O37" s="43" t="n">
        <x:f>ABS(M37-N37)/N37</x:f>
        <x:v>0.24997009074548818</x:v>
      </x:c>
      <x:c r="P37" s="45" t="n">
        <x:f>IF((A37*I37/H37)&lt;=M37,0,INT((((A37*I37/H37)-M37)*10000)/(A37*I37/H37)))</x:f>
        <x:v>30</x:v>
      </x:c>
      <x:c r="Q37" s="45" t="n">
        <x:f>IF(E37="SAFE",MIN(20,K37+ROUND(P37/10,0)),IF(E37="SHALLOW",MIN(75,K37+ROUND(P37/100,0)),MIN(95,K37)))</x:f>
        <x:v>88</x:v>
      </x:c>
      <x:c r="R37" s="45" t="n">
        <x:f>IF(O37&gt;'Assumptions'!$B$11,MIN(35,ROUND(O37*500,0)),0)</x:f>
        <x:v>35</x:v>
      </x:c>
      <x:c r="S37" s="45" t="n">
        <x:f>IF(J37&gt;'Assumptions'!$B$12,MIN(30,ROUND((J37-'Assumptions'!$B$12)*200,0)),0)</x:f>
        <x:v>30</x:v>
      </x:c>
      <x:c r="T37" s="45" t="n">
        <x:f>IF(Q37&gt;'Assumptions'!$B$13,ROUND(Q37/3,0),0)</x:f>
        <x:v>29</x:v>
      </x:c>
      <x:c r="U37" s="45" t="n">
        <x:f>IF(OR(D37="BAD",D37="BAIT"),100,MIN(100,R37+S37+T37))</x:f>
        <x:v>100</x:v>
      </x:c>
      <x:c r="V37" s="41" t="str">
        <x:f>IF(OR(D37="BAD",D37="BAIT"),"REJECT",IF(U37&gt;='Assumptions'!$B$15,"REJECT",IF(AND(U37&gt;='Assumptions'!$B$14,L37=TRUE),"FALLBACK","ALLOW")))</x:f>
        <x:v>REJECT</x:v>
      </x:c>
    </x:row>
    <x:row r="38">
      <x:c r="A38" s="41" t="n">
        <x:v>10</x:v>
      </x:c>
      <x:c r="B38" s="41" t="str">
        <x:v>route-usdc-good-safe</x:v>
      </x:c>
      <x:c r="C38" s="41" t="str">
        <x:v>USDC</x:v>
      </x:c>
      <x:c r="D38" s="41" t="str">
        <x:v>GOOD</x:v>
      </x:c>
      <x:c r="E38" s="41" t="str">
        <x:v>SAFE</x:v>
      </x:c>
      <x:c r="F38" s="42" t="n">
        <x:v>1</x:v>
      </x:c>
      <x:c r="G38" s="42" t="n">
        <x:v>20</x:v>
      </x:c>
      <x:c r="H38" s="42" t="n">
        <x:v>1000000</x:v>
      </x:c>
      <x:c r="I38" s="42" t="n">
        <x:v>50000</x:v>
      </x:c>
      <x:c r="J38" s="43" t="n">
        <x:v>0.02</x:v>
      </x:c>
      <x:c r="K38" s="41" t="n">
        <x:v>12</x:v>
      </x:c>
      <x:c r="L38" s="44" t="b">
        <x:v>0</x:v>
      </x:c>
      <x:c r="M38" s="42" t="n">
        <x:f>(A38*997*I38)/(H38*1000+A38*997)</x:f>
        <x:v>0.49849503000455087</x:v>
      </x:c>
      <x:c r="N38" s="42" t="n">
        <x:f>(A38*997*(1000000*F38/G38))/(1000000*1000+A38*997)</x:f>
        <x:v>0.49849503000455087</x:v>
      </x:c>
      <x:c r="O38" s="43" t="n">
        <x:f>ABS(M38-N38)/N38</x:f>
        <x:v>0</x:v>
      </x:c>
      <x:c r="P38" s="45" t="n">
        <x:f>IF((A38*I38/H38)&lt;=M38,0,INT((((A38*I38/H38)-M38)*10000)/(A38*I38/H38)))</x:f>
        <x:v>30</x:v>
      </x:c>
      <x:c r="Q38" s="45" t="n">
        <x:f>IF(E38="SAFE",MIN(20,K38+ROUND(P38/10,0)),IF(E38="SHALLOW",MIN(75,K38+ROUND(P38/100,0)),MIN(95,K38)))</x:f>
        <x:v>15</x:v>
      </x:c>
      <x:c r="R38" s="45" t="n">
        <x:f>IF(O38&gt;'Assumptions'!$B$11,MIN(35,ROUND(O38*500,0)),0)</x:f>
        <x:v>0</x:v>
      </x:c>
      <x:c r="S38" s="45" t="n">
        <x:f>IF(J38&gt;'Assumptions'!$B$12,MIN(30,ROUND((J38-'Assumptions'!$B$12)*200,0)),0)</x:f>
        <x:v>0</x:v>
      </x:c>
      <x:c r="T38" s="45" t="n">
        <x:f>IF(Q38&gt;'Assumptions'!$B$13,ROUND(Q38/3,0),0)</x:f>
        <x:v>0</x:v>
      </x:c>
      <x:c r="U38" s="45" t="n">
        <x:f>IF(OR(D38="BAD",D38="BAIT"),100,MIN(100,R38+S38+T38))</x:f>
        <x:v>0</x:v>
      </x:c>
      <x:c r="V38" s="41" t="str">
        <x:f>IF(OR(D38="BAD",D38="BAIT"),"REJECT",IF(U38&gt;='Assumptions'!$B$15,"REJECT",IF(AND(U38&gt;='Assumptions'!$B$14,L38=TRUE),"FALLBACK","ALLOW")))</x:f>
        <x:v>ALLOW</x:v>
      </x:c>
    </x:row>
    <x:row r="39">
      <x:c r="A39" s="41" t="n">
        <x:v>10</x:v>
      </x:c>
      <x:c r="B39" s="41" t="str">
        <x:v>route-usdc-good-shallow</x:v>
      </x:c>
      <x:c r="C39" s="41" t="str">
        <x:v>USDC</x:v>
      </x:c>
      <x:c r="D39" s="41" t="str">
        <x:v>GOOD</x:v>
      </x:c>
      <x:c r="E39" s="41" t="str">
        <x:v>SHALLOW</x:v>
      </x:c>
      <x:c r="F39" s="42" t="n">
        <x:v>1</x:v>
      </x:c>
      <x:c r="G39" s="42" t="n">
        <x:v>20</x:v>
      </x:c>
      <x:c r="H39" s="42" t="n">
        <x:v>500</x:v>
      </x:c>
      <x:c r="I39" s="42" t="n">
        <x:v>25</x:v>
      </x:c>
      <x:c r="J39" s="43" t="n">
        <x:v>0.25</x:v>
      </x:c>
      <x:c r="K39" s="41" t="n">
        <x:v>55</x:v>
      </x:c>
      <x:c r="L39" s="44" t="b">
        <x:v>1</x:v>
      </x:c>
      <x:c r="M39" s="42" t="n">
        <x:f>(A39*997*I39)/(H39*1000+A39*997)</x:f>
        <x:v>0.4887542404455164</x:v>
      </x:c>
      <x:c r="N39" s="42" t="n">
        <x:f>(A39*997*(1000000*F39/G39))/(1000000*1000+A39*997)</x:f>
        <x:v>0.49849503000455087</x:v>
      </x:c>
      <x:c r="O39" s="43" t="n">
        <x:f>ABS(M39-N39)/N39</x:f>
        <x:v>0.019540394533011755</x:v>
      </x:c>
      <x:c r="P39" s="45" t="n">
        <x:f>IF((A39*I39/H39)&lt;=M39,0,INT((((A39*I39/H39)-M39)*10000)/(A39*I39/H39)))</x:f>
        <x:v>224</x:v>
      </x:c>
      <x:c r="Q39" s="45" t="n">
        <x:f>IF(E39="SAFE",MIN(20,K39+ROUND(P39/10,0)),IF(E39="SHALLOW",MIN(75,K39+ROUND(P39/100,0)),MIN(95,K39)))</x:f>
        <x:v>57</x:v>
      </x:c>
      <x:c r="R39" s="45" t="n">
        <x:f>IF(O39&gt;'Assumptions'!$B$11,MIN(35,ROUND(O39*500,0)),0)</x:f>
        <x:v>10</x:v>
      </x:c>
      <x:c r="S39" s="45" t="n">
        <x:f>IF(J39&gt;'Assumptions'!$B$12,MIN(30,ROUND((J39-'Assumptions'!$B$12)*200,0)),0)</x:f>
        <x:v>10</x:v>
      </x:c>
      <x:c r="T39" s="45" t="n">
        <x:f>IF(Q39&gt;'Assumptions'!$B$13,ROUND(Q39/3,0),0)</x:f>
        <x:v>0</x:v>
      </x:c>
      <x:c r="U39" s="45" t="n">
        <x:f>IF(OR(D39="BAD",D39="BAIT"),100,MIN(100,R39+S39+T39))</x:f>
        <x:v>20</x:v>
      </x:c>
      <x:c r="V39" s="41" t="str">
        <x:f>IF(OR(D39="BAD",D39="BAIT"),"REJECT",IF(U39&gt;='Assumptions'!$B$15,"REJECT",IF(AND(U39&gt;='Assumptions'!$B$14,L39=TRUE),"FALLBACK","ALLOW")))</x:f>
        <x:v>ALLOW</x:v>
      </x:c>
    </x:row>
    <x:row r="40">
      <x:c r="A40" s="41" t="n">
        <x:v>10</x:v>
      </x:c>
      <x:c r="B40" s="41" t="str">
        <x:v>route-usdc-good-toxic</x:v>
      </x:c>
      <x:c r="C40" s="41" t="str">
        <x:v>USDC</x:v>
      </x:c>
      <x:c r="D40" s="41" t="str">
        <x:v>GOOD</x:v>
      </x:c>
      <x:c r="E40" s="41" t="str">
        <x:v>TOXIC</x:v>
      </x:c>
      <x:c r="F40" s="42" t="n">
        <x:v>1</x:v>
      </x:c>
      <x:c r="G40" s="42" t="n">
        <x:v>20</x:v>
      </x:c>
      <x:c r="H40" s="42" t="n">
        <x:v>40000</x:v>
      </x:c>
      <x:c r="I40" s="42" t="n">
        <x:v>2500</x:v>
      </x:c>
      <x:c r="J40" s="43" t="n">
        <x:v>0.35</x:v>
      </x:c>
      <x:c r="K40" s="41" t="n">
        <x:v>88</x:v>
      </x:c>
      <x:c r="L40" s="44" t="b">
        <x:v>1</x:v>
      </x:c>
      <x:c r="M40" s="42" t="n">
        <x:f>(A40*997*I40)/(H40*1000+A40*997)</x:f>
        <x:v>0.6229697247960946</x:v>
      </x:c>
      <x:c r="N40" s="42" t="n">
        <x:f>(A40*997*(1000000*F40/G40))/(1000000*1000+A40*997)</x:f>
        <x:v>0.49849503000455087</x:v>
      </x:c>
      <x:c r="O40" s="43" t="n">
        <x:f>ABS(M40-N40)/N40</x:f>
        <x:v>0.24970097453209786</x:v>
      </x:c>
      <x:c r="P40" s="45" t="n">
        <x:f>IF((A40*I40/H40)&lt;=M40,0,INT((((A40*I40/H40)-M40)*10000)/(A40*I40/H40)))</x:f>
        <x:v>32</x:v>
      </x:c>
      <x:c r="Q40" s="45" t="n">
        <x:f>IF(E40="SAFE",MIN(20,K40+ROUND(P40/10,0)),IF(E40="SHALLOW",MIN(75,K40+ROUND(P40/100,0)),MIN(95,K40)))</x:f>
        <x:v>88</x:v>
      </x:c>
      <x:c r="R40" s="45" t="n">
        <x:f>IF(O40&gt;'Assumptions'!$B$11,MIN(35,ROUND(O40*500,0)),0)</x:f>
        <x:v>35</x:v>
      </x:c>
      <x:c r="S40" s="45" t="n">
        <x:f>IF(J40&gt;'Assumptions'!$B$12,MIN(30,ROUND((J40-'Assumptions'!$B$12)*200,0)),0)</x:f>
        <x:v>30</x:v>
      </x:c>
      <x:c r="T40" s="45" t="n">
        <x:f>IF(Q40&gt;'Assumptions'!$B$13,ROUND(Q40/3,0),0)</x:f>
        <x:v>29</x:v>
      </x:c>
      <x:c r="U40" s="45" t="n">
        <x:f>IF(OR(D40="BAD",D40="BAIT"),100,MIN(100,R40+S40+T40))</x:f>
        <x:v>94</x:v>
      </x:c>
      <x:c r="V40" s="41" t="str">
        <x:f>IF(OR(D40="BAD",D40="BAIT"),"REJECT",IF(U40&gt;='Assumptions'!$B$15,"REJECT",IF(AND(U40&gt;='Assumptions'!$B$14,L40=TRUE),"FALLBACK","ALLOW")))</x:f>
        <x:v>REJECT</x:v>
      </x:c>
    </x:row>
    <x:row r="41">
      <x:c r="A41" s="41" t="n">
        <x:v>10</x:v>
      </x:c>
      <x:c r="B41" s="41" t="str">
        <x:v>route-usdc-bad-safe</x:v>
      </x:c>
      <x:c r="C41" s="41" t="str">
        <x:v>USDC</x:v>
      </x:c>
      <x:c r="D41" s="41" t="str">
        <x:v>BAD</x:v>
      </x:c>
      <x:c r="E41" s="41" t="str">
        <x:v>SAFE</x:v>
      </x:c>
      <x:c r="F41" s="42" t="n">
        <x:v>1</x:v>
      </x:c>
      <x:c r="G41" s="42" t="n">
        <x:v>100</x:v>
      </x:c>
      <x:c r="H41" s="42" t="n">
        <x:v>1000000</x:v>
      </x:c>
      <x:c r="I41" s="42" t="n">
        <x:v>10000</x:v>
      </x:c>
      <x:c r="J41" s="43" t="n">
        <x:v>0.02</x:v>
      </x:c>
      <x:c r="K41" s="41" t="n">
        <x:v>12</x:v>
      </x:c>
      <x:c r="L41" s="44" t="b">
        <x:v>0</x:v>
      </x:c>
      <x:c r="M41" s="42" t="n">
        <x:f>(A41*997*I41)/(H41*1000+A41*997)</x:f>
        <x:v>0.09969900600091017</x:v>
      </x:c>
      <x:c r="N41" s="42" t="n">
        <x:f>(A41*997*(1000000*F41/G41))/(1000000*1000+A41*997)</x:f>
        <x:v>0.09969900600091017</x:v>
      </x:c>
      <x:c r="O41" s="43" t="n">
        <x:f>ABS(M41-N41)/N41</x:f>
        <x:v>0</x:v>
      </x:c>
      <x:c r="P41" s="45" t="n">
        <x:f>IF((A41*I41/H41)&lt;=M41,0,INT((((A41*I41/H41)-M41)*10000)/(A41*I41/H41)))</x:f>
        <x:v>30</x:v>
      </x:c>
      <x:c r="Q41" s="45" t="n">
        <x:f>IF(E41="SAFE",MIN(20,K41+ROUND(P41/10,0)),IF(E41="SHALLOW",MIN(75,K41+ROUND(P41/100,0)),MIN(95,K41)))</x:f>
        <x:v>15</x:v>
      </x:c>
      <x:c r="R41" s="45" t="n">
        <x:f>IF(O41&gt;'Assumptions'!$B$11,MIN(35,ROUND(O41*500,0)),0)</x:f>
        <x:v>0</x:v>
      </x:c>
      <x:c r="S41" s="45" t="n">
        <x:f>IF(J41&gt;'Assumptions'!$B$12,MIN(30,ROUND((J41-'Assumptions'!$B$12)*200,0)),0)</x:f>
        <x:v>0</x:v>
      </x:c>
      <x:c r="T41" s="45" t="n">
        <x:f>IF(Q41&gt;'Assumptions'!$B$13,ROUND(Q41/3,0),0)</x:f>
        <x:v>0</x:v>
      </x:c>
      <x:c r="U41" s="45" t="n">
        <x:f>IF(OR(D41="BAD",D41="BAIT"),100,MIN(100,R41+S41+T41))</x:f>
        <x:v>100</x:v>
      </x:c>
      <x:c r="V41" s="41" t="str">
        <x:f>IF(OR(D41="BAD",D41="BAIT"),"REJECT",IF(U41&gt;='Assumptions'!$B$15,"REJECT",IF(AND(U41&gt;='Assumptions'!$B$14,L41=TRUE),"FALLBACK","ALLOW")))</x:f>
        <x:v>REJECT</x:v>
      </x:c>
    </x:row>
    <x:row r="42">
      <x:c r="A42" s="41" t="n">
        <x:v>10</x:v>
      </x:c>
      <x:c r="B42" s="41" t="str">
        <x:v>route-usdc-bad-shallow</x:v>
      </x:c>
      <x:c r="C42" s="41" t="str">
        <x:v>USDC</x:v>
      </x:c>
      <x:c r="D42" s="41" t="str">
        <x:v>BAD</x:v>
      </x:c>
      <x:c r="E42" s="41" t="str">
        <x:v>SHALLOW</x:v>
      </x:c>
      <x:c r="F42" s="42" t="n">
        <x:v>1</x:v>
      </x:c>
      <x:c r="G42" s="42" t="n">
        <x:v>100</x:v>
      </x:c>
      <x:c r="H42" s="42" t="n">
        <x:v>500</x:v>
      </x:c>
      <x:c r="I42" s="42" t="n">
        <x:v>5</x:v>
      </x:c>
      <x:c r="J42" s="43" t="n">
        <x:v>0.25</x:v>
      </x:c>
      <x:c r="K42" s="41" t="n">
        <x:v>55</x:v>
      </x:c>
      <x:c r="L42" s="44" t="b">
        <x:v>1</x:v>
      </x:c>
      <x:c r="M42" s="42" t="n">
        <x:f>(A42*997*I42)/(H42*1000+A42*997)</x:f>
        <x:v>0.09775084808910328</x:v>
      </x:c>
      <x:c r="N42" s="42" t="n">
        <x:f>(A42*997*(1000000*F42/G42))/(1000000*1000+A42*997)</x:f>
        <x:v>0.09969900600091017</x:v>
      </x:c>
      <x:c r="O42" s="43" t="n">
        <x:f>ABS(M42-N42)/N42</x:f>
        <x:v>0.019540394533011703</x:v>
      </x:c>
      <x:c r="P42" s="45" t="n">
        <x:f>IF((A42*I42/H42)&lt;=M42,0,INT((((A42*I42/H42)-M42)*10000)/(A42*I42/H42)))</x:f>
        <x:v>224</x:v>
      </x:c>
      <x:c r="Q42" s="45" t="n">
        <x:f>IF(E42="SAFE",MIN(20,K42+ROUND(P42/10,0)),IF(E42="SHALLOW",MIN(75,K42+ROUND(P42/100,0)),MIN(95,K42)))</x:f>
        <x:v>57</x:v>
      </x:c>
      <x:c r="R42" s="45" t="n">
        <x:f>IF(O42&gt;'Assumptions'!$B$11,MIN(35,ROUND(O42*500,0)),0)</x:f>
        <x:v>10</x:v>
      </x:c>
      <x:c r="S42" s="45" t="n">
        <x:f>IF(J42&gt;'Assumptions'!$B$12,MIN(30,ROUND((J42-'Assumptions'!$B$12)*200,0)),0)</x:f>
        <x:v>10</x:v>
      </x:c>
      <x:c r="T42" s="45" t="n">
        <x:f>IF(Q42&gt;'Assumptions'!$B$13,ROUND(Q42/3,0),0)</x:f>
        <x:v>0</x:v>
      </x:c>
      <x:c r="U42" s="45" t="n">
        <x:f>IF(OR(D42="BAD",D42="BAIT"),100,MIN(100,R42+S42+T42))</x:f>
        <x:v>100</x:v>
      </x:c>
      <x:c r="V42" s="41" t="str">
        <x:f>IF(OR(D42="BAD",D42="BAIT"),"REJECT",IF(U42&gt;='Assumptions'!$B$15,"REJECT",IF(AND(U42&gt;='Assumptions'!$B$14,L42=TRUE),"FALLBACK","ALLOW")))</x:f>
        <x:v>REJECT</x:v>
      </x:c>
    </x:row>
    <x:row r="43">
      <x:c r="A43" s="41" t="n">
        <x:v>10</x:v>
      </x:c>
      <x:c r="B43" s="41" t="str">
        <x:v>route-usdc-bad-toxic</x:v>
      </x:c>
      <x:c r="C43" s="41" t="str">
        <x:v>USDC</x:v>
      </x:c>
      <x:c r="D43" s="41" t="str">
        <x:v>BAD</x:v>
      </x:c>
      <x:c r="E43" s="41" t="str">
        <x:v>TOXIC</x:v>
      </x:c>
      <x:c r="F43" s="42" t="n">
        <x:v>1</x:v>
      </x:c>
      <x:c r="G43" s="42" t="n">
        <x:v>100</x:v>
      </x:c>
      <x:c r="H43" s="42" t="n">
        <x:v>40000</x:v>
      </x:c>
      <x:c r="I43" s="42" t="n">
        <x:v>500</x:v>
      </x:c>
      <x:c r="J43" s="43" t="n">
        <x:v>0.35</x:v>
      </x:c>
      <x:c r="K43" s="41" t="n">
        <x:v>88</x:v>
      </x:c>
      <x:c r="L43" s="44" t="b">
        <x:v>1</x:v>
      </x:c>
      <x:c r="M43" s="42" t="n">
        <x:f>(A43*997*I43)/(H43*1000+A43*997)</x:f>
        <x:v>0.12459394495921891</x:v>
      </x:c>
      <x:c r="N43" s="42" t="n">
        <x:f>(A43*997*(1000000*F43/G43))/(1000000*1000+A43*997)</x:f>
        <x:v>0.09969900600091017</x:v>
      </x:c>
      <x:c r="O43" s="43" t="n">
        <x:f>ABS(M43-N43)/N43</x:f>
        <x:v>0.24970097453209789</x:v>
      </x:c>
      <x:c r="P43" s="45" t="n">
        <x:f>IF((A43*I43/H43)&lt;=M43,0,INT((((A43*I43/H43)-M43)*10000)/(A43*I43/H43)))</x:f>
        <x:v>32</x:v>
      </x:c>
      <x:c r="Q43" s="45" t="n">
        <x:f>IF(E43="SAFE",MIN(20,K43+ROUND(P43/10,0)),IF(E43="SHALLOW",MIN(75,K43+ROUND(P43/100,0)),MIN(95,K43)))</x:f>
        <x:v>88</x:v>
      </x:c>
      <x:c r="R43" s="45" t="n">
        <x:f>IF(O43&gt;'Assumptions'!$B$11,MIN(35,ROUND(O43*500,0)),0)</x:f>
        <x:v>35</x:v>
      </x:c>
      <x:c r="S43" s="45" t="n">
        <x:f>IF(J43&gt;'Assumptions'!$B$12,MIN(30,ROUND((J43-'Assumptions'!$B$12)*200,0)),0)</x:f>
        <x:v>30</x:v>
      </x:c>
      <x:c r="T43" s="45" t="n">
        <x:f>IF(Q43&gt;'Assumptions'!$B$13,ROUND(Q43/3,0),0)</x:f>
        <x:v>29</x:v>
      </x:c>
      <x:c r="U43" s="45" t="n">
        <x:f>IF(OR(D43="BAD",D43="BAIT"),100,MIN(100,R43+S43+T43))</x:f>
        <x:v>100</x:v>
      </x:c>
      <x:c r="V43" s="41" t="str">
        <x:f>IF(OR(D43="BAD",D43="BAIT"),"REJECT",IF(U43&gt;='Assumptions'!$B$15,"REJECT",IF(AND(U43&gt;='Assumptions'!$B$14,L43=TRUE),"FALLBACK","ALLOW")))</x:f>
        <x:v>REJECT</x:v>
      </x:c>
    </x:row>
    <x:row r="44">
      <x:c r="A44" s="41" t="n">
        <x:v>10</x:v>
      </x:c>
      <x:c r="B44" s="41" t="str">
        <x:v>route-usdc-bait-safe</x:v>
      </x:c>
      <x:c r="C44" s="41" t="str">
        <x:v>USDC</x:v>
      </x:c>
      <x:c r="D44" s="41" t="str">
        <x:v>BAIT</x:v>
      </x:c>
      <x:c r="E44" s="41" t="str">
        <x:v>SAFE</x:v>
      </x:c>
      <x:c r="F44" s="42" t="n">
        <x:v>1</x:v>
      </x:c>
      <x:c r="G44" s="42" t="n">
        <x:v>1</x:v>
      </x:c>
      <x:c r="H44" s="42" t="n">
        <x:v>1000000</x:v>
      </x:c>
      <x:c r="I44" s="42" t="n">
        <x:v>1000000</x:v>
      </x:c>
      <x:c r="J44" s="43" t="n">
        <x:v>0.02</x:v>
      </x:c>
      <x:c r="K44" s="41" t="n">
        <x:v>12</x:v>
      </x:c>
      <x:c r="L44" s="44" t="b">
        <x:v>0</x:v>
      </x:c>
      <x:c r="M44" s="42" t="n">
        <x:f>(A44*997*I44)/(H44*1000+A44*997)</x:f>
        <x:v>9.969900600091018</x:v>
      </x:c>
      <x:c r="N44" s="42" t="n">
        <x:f>(A44*997*(1000000*F44/G44))/(1000000*1000+A44*997)</x:f>
        <x:v>9.969900600091018</x:v>
      </x:c>
      <x:c r="O44" s="43" t="n">
        <x:f>ABS(M44-N44)/N44</x:f>
        <x:v>0</x:v>
      </x:c>
      <x:c r="P44" s="45" t="n">
        <x:f>IF((A44*I44/H44)&lt;=M44,0,INT((((A44*I44/H44)-M44)*10000)/(A44*I44/H44)))</x:f>
        <x:v>30</x:v>
      </x:c>
      <x:c r="Q44" s="45" t="n">
        <x:f>IF(E44="SAFE",MIN(20,K44+ROUND(P44/10,0)),IF(E44="SHALLOW",MIN(75,K44+ROUND(P44/100,0)),MIN(95,K44)))</x:f>
        <x:v>15</x:v>
      </x:c>
      <x:c r="R44" s="45" t="n">
        <x:f>IF(O44&gt;'Assumptions'!$B$11,MIN(35,ROUND(O44*500,0)),0)</x:f>
        <x:v>0</x:v>
      </x:c>
      <x:c r="S44" s="45" t="n">
        <x:f>IF(J44&gt;'Assumptions'!$B$12,MIN(30,ROUND((J44-'Assumptions'!$B$12)*200,0)),0)</x:f>
        <x:v>0</x:v>
      </x:c>
      <x:c r="T44" s="45" t="n">
        <x:f>IF(Q44&gt;'Assumptions'!$B$13,ROUND(Q44/3,0),0)</x:f>
        <x:v>0</x:v>
      </x:c>
      <x:c r="U44" s="45" t="n">
        <x:f>IF(OR(D44="BAD",D44="BAIT"),100,MIN(100,R44+S44+T44))</x:f>
        <x:v>100</x:v>
      </x:c>
      <x:c r="V44" s="41" t="str">
        <x:f>IF(OR(D44="BAD",D44="BAIT"),"REJECT",IF(U44&gt;='Assumptions'!$B$15,"REJECT",IF(AND(U44&gt;='Assumptions'!$B$14,L44=TRUE),"FALLBACK","ALLOW")))</x:f>
        <x:v>REJECT</x:v>
      </x:c>
    </x:row>
    <x:row r="45">
      <x:c r="A45" s="41" t="n">
        <x:v>10</x:v>
      </x:c>
      <x:c r="B45" s="41" t="str">
        <x:v>route-usdc-bait-shallow</x:v>
      </x:c>
      <x:c r="C45" s="41" t="str">
        <x:v>USDC</x:v>
      </x:c>
      <x:c r="D45" s="41" t="str">
        <x:v>BAIT</x:v>
      </x:c>
      <x:c r="E45" s="41" t="str">
        <x:v>SHALLOW</x:v>
      </x:c>
      <x:c r="F45" s="42" t="n">
        <x:v>1</x:v>
      </x:c>
      <x:c r="G45" s="42" t="n">
        <x:v>1</x:v>
      </x:c>
      <x:c r="H45" s="42" t="n">
        <x:v>500</x:v>
      </x:c>
      <x:c r="I45" s="42" t="n">
        <x:v>500</x:v>
      </x:c>
      <x:c r="J45" s="43" t="n">
        <x:v>0.25</x:v>
      </x:c>
      <x:c r="K45" s="41" t="n">
        <x:v>55</x:v>
      </x:c>
      <x:c r="L45" s="44" t="b">
        <x:v>1</x:v>
      </x:c>
      <x:c r="M45" s="42" t="n">
        <x:f>(A45*997*I45)/(H45*1000+A45*997)</x:f>
        <x:v>9.775084808910329</x:v>
      </x:c>
      <x:c r="N45" s="42" t="n">
        <x:f>(A45*997*(1000000*F45/G45))/(1000000*1000+A45*997)</x:f>
        <x:v>9.969900600091018</x:v>
      </x:c>
      <x:c r="O45" s="43" t="n">
        <x:f>ABS(M45-N45)/N45</x:f>
        <x:v>0.019540394533011755</x:v>
      </x:c>
      <x:c r="P45" s="45" t="n">
        <x:f>IF((A45*I45/H45)&lt;=M45,0,INT((((A45*I45/H45)-M45)*10000)/(A45*I45/H45)))</x:f>
        <x:v>224</x:v>
      </x:c>
      <x:c r="Q45" s="45" t="n">
        <x:f>IF(E45="SAFE",MIN(20,K45+ROUND(P45/10,0)),IF(E45="SHALLOW",MIN(75,K45+ROUND(P45/100,0)),MIN(95,K45)))</x:f>
        <x:v>57</x:v>
      </x:c>
      <x:c r="R45" s="45" t="n">
        <x:f>IF(O45&gt;'Assumptions'!$B$11,MIN(35,ROUND(O45*500,0)),0)</x:f>
        <x:v>10</x:v>
      </x:c>
      <x:c r="S45" s="45" t="n">
        <x:f>IF(J45&gt;'Assumptions'!$B$12,MIN(30,ROUND((J45-'Assumptions'!$B$12)*200,0)),0)</x:f>
        <x:v>10</x:v>
      </x:c>
      <x:c r="T45" s="45" t="n">
        <x:f>IF(Q45&gt;'Assumptions'!$B$13,ROUND(Q45/3,0),0)</x:f>
        <x:v>0</x:v>
      </x:c>
      <x:c r="U45" s="45" t="n">
        <x:f>IF(OR(D45="BAD",D45="BAIT"),100,MIN(100,R45+S45+T45))</x:f>
        <x:v>100</x:v>
      </x:c>
      <x:c r="V45" s="41" t="str">
        <x:f>IF(OR(D45="BAD",D45="BAIT"),"REJECT",IF(U45&gt;='Assumptions'!$B$15,"REJECT",IF(AND(U45&gt;='Assumptions'!$B$14,L45=TRUE),"FALLBACK","ALLOW")))</x:f>
        <x:v>REJECT</x:v>
      </x:c>
    </x:row>
    <x:row r="46">
      <x:c r="A46" s="41" t="n">
        <x:v>10</x:v>
      </x:c>
      <x:c r="B46" s="41" t="str">
        <x:v>route-usdc-bait-toxic</x:v>
      </x:c>
      <x:c r="C46" s="41" t="str">
        <x:v>USDC</x:v>
      </x:c>
      <x:c r="D46" s="41" t="str">
        <x:v>BAIT</x:v>
      </x:c>
      <x:c r="E46" s="41" t="str">
        <x:v>TOXIC</x:v>
      </x:c>
      <x:c r="F46" s="42" t="n">
        <x:v>1</x:v>
      </x:c>
      <x:c r="G46" s="42" t="n">
        <x:v>1</x:v>
      </x:c>
      <x:c r="H46" s="42" t="n">
        <x:v>40000</x:v>
      </x:c>
      <x:c r="I46" s="42" t="n">
        <x:v>50000</x:v>
      </x:c>
      <x:c r="J46" s="43" t="n">
        <x:v>0.35</x:v>
      </x:c>
      <x:c r="K46" s="41" t="n">
        <x:v>88</x:v>
      </x:c>
      <x:c r="L46" s="44" t="b">
        <x:v>1</x:v>
      </x:c>
      <x:c r="M46" s="42" t="n">
        <x:f>(A46*997*I46)/(H46*1000+A46*997)</x:f>
        <x:v>12.459394495921892</x:v>
      </x:c>
      <x:c r="N46" s="42" t="n">
        <x:f>(A46*997*(1000000*F46/G46))/(1000000*1000+A46*997)</x:f>
        <x:v>9.969900600091018</x:v>
      </x:c>
      <x:c r="O46" s="43" t="n">
        <x:f>ABS(M46-N46)/N46</x:f>
        <x:v>0.2497009745320978</x:v>
      </x:c>
      <x:c r="P46" s="45" t="n">
        <x:f>IF((A46*I46/H46)&lt;=M46,0,INT((((A46*I46/H46)-M46)*10000)/(A46*I46/H46)))</x:f>
        <x:v>32</x:v>
      </x:c>
      <x:c r="Q46" s="45" t="n">
        <x:f>IF(E46="SAFE",MIN(20,K46+ROUND(P46/10,0)),IF(E46="SHALLOW",MIN(75,K46+ROUND(P46/100,0)),MIN(95,K46)))</x:f>
        <x:v>88</x:v>
      </x:c>
      <x:c r="R46" s="45" t="n">
        <x:f>IF(O46&gt;'Assumptions'!$B$11,MIN(35,ROUND(O46*500,0)),0)</x:f>
        <x:v>35</x:v>
      </x:c>
      <x:c r="S46" s="45" t="n">
        <x:f>IF(J46&gt;'Assumptions'!$B$12,MIN(30,ROUND((J46-'Assumptions'!$B$12)*200,0)),0)</x:f>
        <x:v>30</x:v>
      </x:c>
      <x:c r="T46" s="45" t="n">
        <x:f>IF(Q46&gt;'Assumptions'!$B$13,ROUND(Q46/3,0),0)</x:f>
        <x:v>29</x:v>
      </x:c>
      <x:c r="U46" s="45" t="n">
        <x:f>IF(OR(D46="BAD",D46="BAIT"),100,MIN(100,R46+S46+T46))</x:f>
        <x:v>100</x:v>
      </x:c>
      <x:c r="V46" s="41" t="str">
        <x:f>IF(OR(D46="BAD",D46="BAIT"),"REJECT",IF(U46&gt;='Assumptions'!$B$15,"REJECT",IF(AND(U46&gt;='Assumptions'!$B$14,L46=TRUE),"FALLBACK","ALLOW")))</x:f>
        <x:v>REJECT</x:v>
      </x:c>
    </x:row>
    <x:row r="47">
      <x:c r="A47" s="41" t="n">
        <x:v>10</x:v>
      </x:c>
      <x:c r="B47" s="41" t="str">
        <x:v>route-good-usdc-safe</x:v>
      </x:c>
      <x:c r="C47" s="41" t="str">
        <x:v>GOOD</x:v>
      </x:c>
      <x:c r="D47" s="41" t="str">
        <x:v>USDC</x:v>
      </x:c>
      <x:c r="E47" s="41" t="str">
        <x:v>SAFE</x:v>
      </x:c>
      <x:c r="F47" s="42" t="n">
        <x:v>20</x:v>
      </x:c>
      <x:c r="G47" s="42" t="n">
        <x:v>1</x:v>
      </x:c>
      <x:c r="H47" s="42" t="n">
        <x:v>1000000</x:v>
      </x:c>
      <x:c r="I47" s="42" t="n">
        <x:v>20000000</x:v>
      </x:c>
      <x:c r="J47" s="43" t="n">
        <x:v>0.02</x:v>
      </x:c>
      <x:c r="K47" s="41" t="n">
        <x:v>12</x:v>
      </x:c>
      <x:c r="L47" s="44" t="b">
        <x:v>0</x:v>
      </x:c>
      <x:c r="M47" s="42" t="n">
        <x:f>(A47*997*I47)/(H47*1000+A47*997)</x:f>
        <x:v>199.39801200182035</x:v>
      </x:c>
      <x:c r="N47" s="42" t="n">
        <x:f>(A47*997*(1000000*F47/G47))/(1000000*1000+A47*997)</x:f>
        <x:v>199.39801200182035</x:v>
      </x:c>
      <x:c r="O47" s="43" t="n">
        <x:f>ABS(M47-N47)/N47</x:f>
        <x:v>0</x:v>
      </x:c>
      <x:c r="P47" s="45" t="n">
        <x:f>IF((A47*I47/H47)&lt;=M47,0,INT((((A47*I47/H47)-M47)*10000)/(A47*I47/H47)))</x:f>
        <x:v>30</x:v>
      </x:c>
      <x:c r="Q47" s="45" t="n">
        <x:f>IF(E47="SAFE",MIN(20,K47+ROUND(P47/10,0)),IF(E47="SHALLOW",MIN(75,K47+ROUND(P47/100,0)),MIN(95,K47)))</x:f>
        <x:v>15</x:v>
      </x:c>
      <x:c r="R47" s="45" t="n">
        <x:f>IF(O47&gt;'Assumptions'!$B$11,MIN(35,ROUND(O47*500,0)),0)</x:f>
        <x:v>0</x:v>
      </x:c>
      <x:c r="S47" s="45" t="n">
        <x:f>IF(J47&gt;'Assumptions'!$B$12,MIN(30,ROUND((J47-'Assumptions'!$B$12)*200,0)),0)</x:f>
        <x:v>0</x:v>
      </x:c>
      <x:c r="T47" s="45" t="n">
        <x:f>IF(Q47&gt;'Assumptions'!$B$13,ROUND(Q47/3,0),0)</x:f>
        <x:v>0</x:v>
      </x:c>
      <x:c r="U47" s="45" t="n">
        <x:f>IF(OR(D47="BAD",D47="BAIT"),100,MIN(100,R47+S47+T47))</x:f>
        <x:v>0</x:v>
      </x:c>
      <x:c r="V47" s="41" t="str">
        <x:f>IF(OR(D47="BAD",D47="BAIT"),"REJECT",IF(U47&gt;='Assumptions'!$B$15,"REJECT",IF(AND(U47&gt;='Assumptions'!$B$14,L47=TRUE),"FALLBACK","ALLOW")))</x:f>
        <x:v>ALLOW</x:v>
      </x:c>
    </x:row>
    <x:row r="48">
      <x:c r="A48" s="41" t="n">
        <x:v>10</x:v>
      </x:c>
      <x:c r="B48" s="41" t="str">
        <x:v>route-good-usdc-shallow</x:v>
      </x:c>
      <x:c r="C48" s="41" t="str">
        <x:v>GOOD</x:v>
      </x:c>
      <x:c r="D48" s="41" t="str">
        <x:v>USDC</x:v>
      </x:c>
      <x:c r="E48" s="41" t="str">
        <x:v>SHALLOW</x:v>
      </x:c>
      <x:c r="F48" s="42" t="n">
        <x:v>20</x:v>
      </x:c>
      <x:c r="G48" s="42" t="n">
        <x:v>1</x:v>
      </x:c>
      <x:c r="H48" s="42" t="n">
        <x:v>500</x:v>
      </x:c>
      <x:c r="I48" s="42" t="n">
        <x:v>10000</x:v>
      </x:c>
      <x:c r="J48" s="43" t="n">
        <x:v>0.25</x:v>
      </x:c>
      <x:c r="K48" s="41" t="n">
        <x:v>55</x:v>
      </x:c>
      <x:c r="L48" s="44" t="b">
        <x:v>1</x:v>
      </x:c>
      <x:c r="M48" s="42" t="n">
        <x:f>(A48*997*I48)/(H48*1000+A48*997)</x:f>
        <x:v>195.50169617820657</x:v>
      </x:c>
      <x:c r="N48" s="42" t="n">
        <x:f>(A48*997*(1000000*F48/G48))/(1000000*1000+A48*997)</x:f>
        <x:v>199.39801200182035</x:v>
      </x:c>
      <x:c r="O48" s="43" t="n">
        <x:f>ABS(M48-N48)/N48</x:f>
        <x:v>0.01954039453301172</x:v>
      </x:c>
      <x:c r="P48" s="45" t="n">
        <x:f>IF((A48*I48/H48)&lt;=M48,0,INT((((A48*I48/H48)-M48)*10000)/(A48*I48/H48)))</x:f>
        <x:v>224</x:v>
      </x:c>
      <x:c r="Q48" s="45" t="n">
        <x:f>IF(E48="SAFE",MIN(20,K48+ROUND(P48/10,0)),IF(E48="SHALLOW",MIN(75,K48+ROUND(P48/100,0)),MIN(95,K48)))</x:f>
        <x:v>57</x:v>
      </x:c>
      <x:c r="R48" s="45" t="n">
        <x:f>IF(O48&gt;'Assumptions'!$B$11,MIN(35,ROUND(O48*500,0)),0)</x:f>
        <x:v>10</x:v>
      </x:c>
      <x:c r="S48" s="45" t="n">
        <x:f>IF(J48&gt;'Assumptions'!$B$12,MIN(30,ROUND((J48-'Assumptions'!$B$12)*200,0)),0)</x:f>
        <x:v>10</x:v>
      </x:c>
      <x:c r="T48" s="45" t="n">
        <x:f>IF(Q48&gt;'Assumptions'!$B$13,ROUND(Q48/3,0),0)</x:f>
        <x:v>0</x:v>
      </x:c>
      <x:c r="U48" s="45" t="n">
        <x:f>IF(OR(D48="BAD",D48="BAIT"),100,MIN(100,R48+S48+T48))</x:f>
        <x:v>20</x:v>
      </x:c>
      <x:c r="V48" s="41" t="str">
        <x:f>IF(OR(D48="BAD",D48="BAIT"),"REJECT",IF(U48&gt;='Assumptions'!$B$15,"REJECT",IF(AND(U48&gt;='Assumptions'!$B$14,L48=TRUE),"FALLBACK","ALLOW")))</x:f>
        <x:v>ALLOW</x:v>
      </x:c>
    </x:row>
    <x:row r="49">
      <x:c r="A49" s="41" t="n">
        <x:v>10</x:v>
      </x:c>
      <x:c r="B49" s="41" t="str">
        <x:v>route-good-usdc-toxic</x:v>
      </x:c>
      <x:c r="C49" s="41" t="str">
        <x:v>GOOD</x:v>
      </x:c>
      <x:c r="D49" s="41" t="str">
        <x:v>USDC</x:v>
      </x:c>
      <x:c r="E49" s="41" t="str">
        <x:v>TOXIC</x:v>
      </x:c>
      <x:c r="F49" s="42" t="n">
        <x:v>20</x:v>
      </x:c>
      <x:c r="G49" s="42" t="n">
        <x:v>1</x:v>
      </x:c>
      <x:c r="H49" s="42" t="n">
        <x:v>40000</x:v>
      </x:c>
      <x:c r="I49" s="42" t="n">
        <x:v>1000000</x:v>
      </x:c>
      <x:c r="J49" s="43" t="n">
        <x:v>0.35</x:v>
      </x:c>
      <x:c r="K49" s="41" t="n">
        <x:v>88</x:v>
      </x:c>
      <x:c r="L49" s="44" t="b">
        <x:v>1</x:v>
      </x:c>
      <x:c r="M49" s="42" t="n">
        <x:f>(A49*997*I49)/(H49*1000+A49*997)</x:f>
        <x:v>249.18788991843783</x:v>
      </x:c>
      <x:c r="N49" s="42" t="n">
        <x:f>(A49*997*(1000000*F49/G49))/(1000000*1000+A49*997)</x:f>
        <x:v>199.39801200182035</x:v>
      </x:c>
      <x:c r="O49" s="43" t="n">
        <x:f>ABS(M49-N49)/N49</x:f>
        <x:v>0.24970097453209786</x:v>
      </x:c>
      <x:c r="P49" s="45" t="n">
        <x:f>IF((A49*I49/H49)&lt;=M49,0,INT((((A49*I49/H49)-M49)*10000)/(A49*I49/H49)))</x:f>
        <x:v>32</x:v>
      </x:c>
      <x:c r="Q49" s="45" t="n">
        <x:f>IF(E49="SAFE",MIN(20,K49+ROUND(P49/10,0)),IF(E49="SHALLOW",MIN(75,K49+ROUND(P49/100,0)),MIN(95,K49)))</x:f>
        <x:v>88</x:v>
      </x:c>
      <x:c r="R49" s="45" t="n">
        <x:f>IF(O49&gt;'Assumptions'!$B$11,MIN(35,ROUND(O49*500,0)),0)</x:f>
        <x:v>35</x:v>
      </x:c>
      <x:c r="S49" s="45" t="n">
        <x:f>IF(J49&gt;'Assumptions'!$B$12,MIN(30,ROUND((J49-'Assumptions'!$B$12)*200,0)),0)</x:f>
        <x:v>30</x:v>
      </x:c>
      <x:c r="T49" s="45" t="n">
        <x:f>IF(Q49&gt;'Assumptions'!$B$13,ROUND(Q49/3,0),0)</x:f>
        <x:v>29</x:v>
      </x:c>
      <x:c r="U49" s="45" t="n">
        <x:f>IF(OR(D49="BAD",D49="BAIT"),100,MIN(100,R49+S49+T49))</x:f>
        <x:v>94</x:v>
      </x:c>
      <x:c r="V49" s="41" t="str">
        <x:f>IF(OR(D49="BAD",D49="BAIT"),"REJECT",IF(U49&gt;='Assumptions'!$B$15,"REJECT",IF(AND(U49&gt;='Assumptions'!$B$14,L49=TRUE),"FALLBACK","ALLOW")))</x:f>
        <x:v>REJECT</x:v>
      </x:c>
    </x:row>
    <x:row r="50">
      <x:c r="A50" s="41" t="n">
        <x:v>10</x:v>
      </x:c>
      <x:c r="B50" s="41" t="str">
        <x:v>route-good-bad-safe</x:v>
      </x:c>
      <x:c r="C50" s="41" t="str">
        <x:v>GOOD</x:v>
      </x:c>
      <x:c r="D50" s="41" t="str">
        <x:v>BAD</x:v>
      </x:c>
      <x:c r="E50" s="41" t="str">
        <x:v>SAFE</x:v>
      </x:c>
      <x:c r="F50" s="42" t="n">
        <x:v>20</x:v>
      </x:c>
      <x:c r="G50" s="42" t="n">
        <x:v>100</x:v>
      </x:c>
      <x:c r="H50" s="42" t="n">
        <x:v>1000000</x:v>
      </x:c>
      <x:c r="I50" s="42" t="n">
        <x:v>200000</x:v>
      </x:c>
      <x:c r="J50" s="43" t="n">
        <x:v>0.02</x:v>
      </x:c>
      <x:c r="K50" s="41" t="n">
        <x:v>12</x:v>
      </x:c>
      <x:c r="L50" s="44" t="b">
        <x:v>0</x:v>
      </x:c>
      <x:c r="M50" s="42" t="n">
        <x:f>(A50*997*I50)/(H50*1000+A50*997)</x:f>
        <x:v>1.9939801200182035</x:v>
      </x:c>
      <x:c r="N50" s="42" t="n">
        <x:f>(A50*997*(1000000*F50/G50))/(1000000*1000+A50*997)</x:f>
        <x:v>1.9939801200182035</x:v>
      </x:c>
      <x:c r="O50" s="43" t="n">
        <x:f>ABS(M50-N50)/N50</x:f>
        <x:v>0</x:v>
      </x:c>
      <x:c r="P50" s="45" t="n">
        <x:f>IF((A50*I50/H50)&lt;=M50,0,INT((((A50*I50/H50)-M50)*10000)/(A50*I50/H50)))</x:f>
        <x:v>30</x:v>
      </x:c>
      <x:c r="Q50" s="45" t="n">
        <x:f>IF(E50="SAFE",MIN(20,K50+ROUND(P50/10,0)),IF(E50="SHALLOW",MIN(75,K50+ROUND(P50/100,0)),MIN(95,K50)))</x:f>
        <x:v>15</x:v>
      </x:c>
      <x:c r="R50" s="45" t="n">
        <x:f>IF(O50&gt;'Assumptions'!$B$11,MIN(35,ROUND(O50*500,0)),0)</x:f>
        <x:v>0</x:v>
      </x:c>
      <x:c r="S50" s="45" t="n">
        <x:f>IF(J50&gt;'Assumptions'!$B$12,MIN(30,ROUND((J50-'Assumptions'!$B$12)*200,0)),0)</x:f>
        <x:v>0</x:v>
      </x:c>
      <x:c r="T50" s="45" t="n">
        <x:f>IF(Q50&gt;'Assumptions'!$B$13,ROUND(Q50/3,0),0)</x:f>
        <x:v>0</x:v>
      </x:c>
      <x:c r="U50" s="45" t="n">
        <x:f>IF(OR(D50="BAD",D50="BAIT"),100,MIN(100,R50+S50+T50))</x:f>
        <x:v>100</x:v>
      </x:c>
      <x:c r="V50" s="41" t="str">
        <x:f>IF(OR(D50="BAD",D50="BAIT"),"REJECT",IF(U50&gt;='Assumptions'!$B$15,"REJECT",IF(AND(U50&gt;='Assumptions'!$B$14,L50=TRUE),"FALLBACK","ALLOW")))</x:f>
        <x:v>REJECT</x:v>
      </x:c>
    </x:row>
    <x:row r="51">
      <x:c r="A51" s="41" t="n">
        <x:v>10</x:v>
      </x:c>
      <x:c r="B51" s="41" t="str">
        <x:v>route-good-bad-shallow</x:v>
      </x:c>
      <x:c r="C51" s="41" t="str">
        <x:v>GOOD</x:v>
      </x:c>
      <x:c r="D51" s="41" t="str">
        <x:v>BAD</x:v>
      </x:c>
      <x:c r="E51" s="41" t="str">
        <x:v>SHALLOW</x:v>
      </x:c>
      <x:c r="F51" s="42" t="n">
        <x:v>20</x:v>
      </x:c>
      <x:c r="G51" s="42" t="n">
        <x:v>100</x:v>
      </x:c>
      <x:c r="H51" s="42" t="n">
        <x:v>500</x:v>
      </x:c>
      <x:c r="I51" s="42" t="n">
        <x:v>100</x:v>
      </x:c>
      <x:c r="J51" s="43" t="n">
        <x:v>0.25</x:v>
      </x:c>
      <x:c r="K51" s="41" t="n">
        <x:v>55</x:v>
      </x:c>
      <x:c r="L51" s="44" t="b">
        <x:v>1</x:v>
      </x:c>
      <x:c r="M51" s="42" t="n">
        <x:f>(A51*997*I51)/(H51*1000+A51*997)</x:f>
        <x:v>1.9550169617820656</x:v>
      </x:c>
      <x:c r="N51" s="42" t="n">
        <x:f>(A51*997*(1000000*F51/G51))/(1000000*1000+A51*997)</x:f>
        <x:v>1.9939801200182035</x:v>
      </x:c>
      <x:c r="O51" s="43" t="n">
        <x:f>ABS(M51-N51)/N51</x:f>
        <x:v>0.019540394533011755</x:v>
      </x:c>
      <x:c r="P51" s="45" t="n">
        <x:f>IF((A51*I51/H51)&lt;=M51,0,INT((((A51*I51/H51)-M51)*10000)/(A51*I51/H51)))</x:f>
        <x:v>224</x:v>
      </x:c>
      <x:c r="Q51" s="45" t="n">
        <x:f>IF(E51="SAFE",MIN(20,K51+ROUND(P51/10,0)),IF(E51="SHALLOW",MIN(75,K51+ROUND(P51/100,0)),MIN(95,K51)))</x:f>
        <x:v>57</x:v>
      </x:c>
      <x:c r="R51" s="45" t="n">
        <x:f>IF(O51&gt;'Assumptions'!$B$11,MIN(35,ROUND(O51*500,0)),0)</x:f>
        <x:v>10</x:v>
      </x:c>
      <x:c r="S51" s="45" t="n">
        <x:f>IF(J51&gt;'Assumptions'!$B$12,MIN(30,ROUND((J51-'Assumptions'!$B$12)*200,0)),0)</x:f>
        <x:v>10</x:v>
      </x:c>
      <x:c r="T51" s="45" t="n">
        <x:f>IF(Q51&gt;'Assumptions'!$B$13,ROUND(Q51/3,0),0)</x:f>
        <x:v>0</x:v>
      </x:c>
      <x:c r="U51" s="45" t="n">
        <x:f>IF(OR(D51="BAD",D51="BAIT"),100,MIN(100,R51+S51+T51))</x:f>
        <x:v>100</x:v>
      </x:c>
      <x:c r="V51" s="41" t="str">
        <x:f>IF(OR(D51="BAD",D51="BAIT"),"REJECT",IF(U51&gt;='Assumptions'!$B$15,"REJECT",IF(AND(U51&gt;='Assumptions'!$B$14,L51=TRUE),"FALLBACK","ALLOW")))</x:f>
        <x:v>REJECT</x:v>
      </x:c>
    </x:row>
    <x:row r="52">
      <x:c r="A52" s="41" t="n">
        <x:v>10</x:v>
      </x:c>
      <x:c r="B52" s="41" t="str">
        <x:v>route-good-bad-toxic</x:v>
      </x:c>
      <x:c r="C52" s="41" t="str">
        <x:v>GOOD</x:v>
      </x:c>
      <x:c r="D52" s="41" t="str">
        <x:v>BAD</x:v>
      </x:c>
      <x:c r="E52" s="41" t="str">
        <x:v>TOXIC</x:v>
      </x:c>
      <x:c r="F52" s="42" t="n">
        <x:v>20</x:v>
      </x:c>
      <x:c r="G52" s="42" t="n">
        <x:v>100</x:v>
      </x:c>
      <x:c r="H52" s="42" t="n">
        <x:v>40000</x:v>
      </x:c>
      <x:c r="I52" s="42" t="n">
        <x:v>10000</x:v>
      </x:c>
      <x:c r="J52" s="43" t="n">
        <x:v>0.35</x:v>
      </x:c>
      <x:c r="K52" s="41" t="n">
        <x:v>88</x:v>
      </x:c>
      <x:c r="L52" s="44" t="b">
        <x:v>1</x:v>
      </x:c>
      <x:c r="M52" s="42" t="n">
        <x:f>(A52*997*I52)/(H52*1000+A52*997)</x:f>
        <x:v>2.4918788991843783</x:v>
      </x:c>
      <x:c r="N52" s="42" t="n">
        <x:f>(A52*997*(1000000*F52/G52))/(1000000*1000+A52*997)</x:f>
        <x:v>1.9939801200182035</x:v>
      </x:c>
      <x:c r="O52" s="43" t="n">
        <x:f>ABS(M52-N52)/N52</x:f>
        <x:v>0.24970097453209786</x:v>
      </x:c>
      <x:c r="P52" s="45" t="n">
        <x:f>IF((A52*I52/H52)&lt;=M52,0,INT((((A52*I52/H52)-M52)*10000)/(A52*I52/H52)))</x:f>
        <x:v>32</x:v>
      </x:c>
      <x:c r="Q52" s="45" t="n">
        <x:f>IF(E52="SAFE",MIN(20,K52+ROUND(P52/10,0)),IF(E52="SHALLOW",MIN(75,K52+ROUND(P52/100,0)),MIN(95,K52)))</x:f>
        <x:v>88</x:v>
      </x:c>
      <x:c r="R52" s="45" t="n">
        <x:f>IF(O52&gt;'Assumptions'!$B$11,MIN(35,ROUND(O52*500,0)),0)</x:f>
        <x:v>35</x:v>
      </x:c>
      <x:c r="S52" s="45" t="n">
        <x:f>IF(J52&gt;'Assumptions'!$B$12,MIN(30,ROUND((J52-'Assumptions'!$B$12)*200,0)),0)</x:f>
        <x:v>30</x:v>
      </x:c>
      <x:c r="T52" s="45" t="n">
        <x:f>IF(Q52&gt;'Assumptions'!$B$13,ROUND(Q52/3,0),0)</x:f>
        <x:v>29</x:v>
      </x:c>
      <x:c r="U52" s="45" t="n">
        <x:f>IF(OR(D52="BAD",D52="BAIT"),100,MIN(100,R52+S52+T52))</x:f>
        <x:v>100</x:v>
      </x:c>
      <x:c r="V52" s="41" t="str">
        <x:f>IF(OR(D52="BAD",D52="BAIT"),"REJECT",IF(U52&gt;='Assumptions'!$B$15,"REJECT",IF(AND(U52&gt;='Assumptions'!$B$14,L52=TRUE),"FALLBACK","ALLOW")))</x:f>
        <x:v>REJECT</x:v>
      </x:c>
    </x:row>
    <x:row r="53">
      <x:c r="A53" s="41" t="n">
        <x:v>10</x:v>
      </x:c>
      <x:c r="B53" s="41" t="str">
        <x:v>route-good-bait-safe</x:v>
      </x:c>
      <x:c r="C53" s="41" t="str">
        <x:v>GOOD</x:v>
      </x:c>
      <x:c r="D53" s="41" t="str">
        <x:v>BAIT</x:v>
      </x:c>
      <x:c r="E53" s="41" t="str">
        <x:v>SAFE</x:v>
      </x:c>
      <x:c r="F53" s="42" t="n">
        <x:v>20</x:v>
      </x:c>
      <x:c r="G53" s="42" t="n">
        <x:v>1</x:v>
      </x:c>
      <x:c r="H53" s="42" t="n">
        <x:v>1000000</x:v>
      </x:c>
      <x:c r="I53" s="42" t="n">
        <x:v>20000000</x:v>
      </x:c>
      <x:c r="J53" s="43" t="n">
        <x:v>0.02</x:v>
      </x:c>
      <x:c r="K53" s="41" t="n">
        <x:v>12</x:v>
      </x:c>
      <x:c r="L53" s="44" t="b">
        <x:v>0</x:v>
      </x:c>
      <x:c r="M53" s="42" t="n">
        <x:f>(A53*997*I53)/(H53*1000+A53*997)</x:f>
        <x:v>199.39801200182035</x:v>
      </x:c>
      <x:c r="N53" s="42" t="n">
        <x:f>(A53*997*(1000000*F53/G53))/(1000000*1000+A53*997)</x:f>
        <x:v>199.39801200182035</x:v>
      </x:c>
      <x:c r="O53" s="43" t="n">
        <x:f>ABS(M53-N53)/N53</x:f>
        <x:v>0</x:v>
      </x:c>
      <x:c r="P53" s="45" t="n">
        <x:f>IF((A53*I53/H53)&lt;=M53,0,INT((((A53*I53/H53)-M53)*10000)/(A53*I53/H53)))</x:f>
        <x:v>30</x:v>
      </x:c>
      <x:c r="Q53" s="45" t="n">
        <x:f>IF(E53="SAFE",MIN(20,K53+ROUND(P53/10,0)),IF(E53="SHALLOW",MIN(75,K53+ROUND(P53/100,0)),MIN(95,K53)))</x:f>
        <x:v>15</x:v>
      </x:c>
      <x:c r="R53" s="45" t="n">
        <x:f>IF(O53&gt;'Assumptions'!$B$11,MIN(35,ROUND(O53*500,0)),0)</x:f>
        <x:v>0</x:v>
      </x:c>
      <x:c r="S53" s="45" t="n">
        <x:f>IF(J53&gt;'Assumptions'!$B$12,MIN(30,ROUND((J53-'Assumptions'!$B$12)*200,0)),0)</x:f>
        <x:v>0</x:v>
      </x:c>
      <x:c r="T53" s="45" t="n">
        <x:f>IF(Q53&gt;'Assumptions'!$B$13,ROUND(Q53/3,0),0)</x:f>
        <x:v>0</x:v>
      </x:c>
      <x:c r="U53" s="45" t="n">
        <x:f>IF(OR(D53="BAD",D53="BAIT"),100,MIN(100,R53+S53+T53))</x:f>
        <x:v>100</x:v>
      </x:c>
      <x:c r="V53" s="41" t="str">
        <x:f>IF(OR(D53="BAD",D53="BAIT"),"REJECT",IF(U53&gt;='Assumptions'!$B$15,"REJECT",IF(AND(U53&gt;='Assumptions'!$B$14,L53=TRUE),"FALLBACK","ALLOW")))</x:f>
        <x:v>REJECT</x:v>
      </x:c>
    </x:row>
    <x:row r="54">
      <x:c r="A54" s="41" t="n">
        <x:v>10</x:v>
      </x:c>
      <x:c r="B54" s="41" t="str">
        <x:v>route-good-bait-shallow</x:v>
      </x:c>
      <x:c r="C54" s="41" t="str">
        <x:v>GOOD</x:v>
      </x:c>
      <x:c r="D54" s="41" t="str">
        <x:v>BAIT</x:v>
      </x:c>
      <x:c r="E54" s="41" t="str">
        <x:v>SHALLOW</x:v>
      </x:c>
      <x:c r="F54" s="42" t="n">
        <x:v>20</x:v>
      </x:c>
      <x:c r="G54" s="42" t="n">
        <x:v>1</x:v>
      </x:c>
      <x:c r="H54" s="42" t="n">
        <x:v>500</x:v>
      </x:c>
      <x:c r="I54" s="42" t="n">
        <x:v>10000</x:v>
      </x:c>
      <x:c r="J54" s="43" t="n">
        <x:v>0.25</x:v>
      </x:c>
      <x:c r="K54" s="41" t="n">
        <x:v>55</x:v>
      </x:c>
      <x:c r="L54" s="44" t="b">
        <x:v>1</x:v>
      </x:c>
      <x:c r="M54" s="42" t="n">
        <x:f>(A54*997*I54)/(H54*1000+A54*997)</x:f>
        <x:v>195.50169617820657</x:v>
      </x:c>
      <x:c r="N54" s="42" t="n">
        <x:f>(A54*997*(1000000*F54/G54))/(1000000*1000+A54*997)</x:f>
        <x:v>199.39801200182035</x:v>
      </x:c>
      <x:c r="O54" s="43" t="n">
        <x:f>ABS(M54-N54)/N54</x:f>
        <x:v>0.01954039453301172</x:v>
      </x:c>
      <x:c r="P54" s="45" t="n">
        <x:f>IF((A54*I54/H54)&lt;=M54,0,INT((((A54*I54/H54)-M54)*10000)/(A54*I54/H54)))</x:f>
        <x:v>224</x:v>
      </x:c>
      <x:c r="Q54" s="45" t="n">
        <x:f>IF(E54="SAFE",MIN(20,K54+ROUND(P54/10,0)),IF(E54="SHALLOW",MIN(75,K54+ROUND(P54/100,0)),MIN(95,K54)))</x:f>
        <x:v>57</x:v>
      </x:c>
      <x:c r="R54" s="45" t="n">
        <x:f>IF(O54&gt;'Assumptions'!$B$11,MIN(35,ROUND(O54*500,0)),0)</x:f>
        <x:v>10</x:v>
      </x:c>
      <x:c r="S54" s="45" t="n">
        <x:f>IF(J54&gt;'Assumptions'!$B$12,MIN(30,ROUND((J54-'Assumptions'!$B$12)*200,0)),0)</x:f>
        <x:v>10</x:v>
      </x:c>
      <x:c r="T54" s="45" t="n">
        <x:f>IF(Q54&gt;'Assumptions'!$B$13,ROUND(Q54/3,0),0)</x:f>
        <x:v>0</x:v>
      </x:c>
      <x:c r="U54" s="45" t="n">
        <x:f>IF(OR(D54="BAD",D54="BAIT"),100,MIN(100,R54+S54+T54))</x:f>
        <x:v>100</x:v>
      </x:c>
      <x:c r="V54" s="41" t="str">
        <x:f>IF(OR(D54="BAD",D54="BAIT"),"REJECT",IF(U54&gt;='Assumptions'!$B$15,"REJECT",IF(AND(U54&gt;='Assumptions'!$B$14,L54=TRUE),"FALLBACK","ALLOW")))</x:f>
        <x:v>REJECT</x:v>
      </x:c>
    </x:row>
    <x:row r="55">
      <x:c r="A55" s="41" t="n">
        <x:v>10</x:v>
      </x:c>
      <x:c r="B55" s="41" t="str">
        <x:v>route-good-bait-toxic</x:v>
      </x:c>
      <x:c r="C55" s="41" t="str">
        <x:v>GOOD</x:v>
      </x:c>
      <x:c r="D55" s="41" t="str">
        <x:v>BAIT</x:v>
      </x:c>
      <x:c r="E55" s="41" t="str">
        <x:v>TOXIC</x:v>
      </x:c>
      <x:c r="F55" s="42" t="n">
        <x:v>20</x:v>
      </x:c>
      <x:c r="G55" s="42" t="n">
        <x:v>1</x:v>
      </x:c>
      <x:c r="H55" s="42" t="n">
        <x:v>40000</x:v>
      </x:c>
      <x:c r="I55" s="42" t="n">
        <x:v>1000000</x:v>
      </x:c>
      <x:c r="J55" s="43" t="n">
        <x:v>0.35</x:v>
      </x:c>
      <x:c r="K55" s="41" t="n">
        <x:v>88</x:v>
      </x:c>
      <x:c r="L55" s="44" t="b">
        <x:v>1</x:v>
      </x:c>
      <x:c r="M55" s="42" t="n">
        <x:f>(A55*997*I55)/(H55*1000+A55*997)</x:f>
        <x:v>249.18788991843783</x:v>
      </x:c>
      <x:c r="N55" s="42" t="n">
        <x:f>(A55*997*(1000000*F55/G55))/(1000000*1000+A55*997)</x:f>
        <x:v>199.39801200182035</x:v>
      </x:c>
      <x:c r="O55" s="43" t="n">
        <x:f>ABS(M55-N55)/N55</x:f>
        <x:v>0.24970097453209786</x:v>
      </x:c>
      <x:c r="P55" s="45" t="n">
        <x:f>IF((A55*I55/H55)&lt;=M55,0,INT((((A55*I55/H55)-M55)*10000)/(A55*I55/H55)))</x:f>
        <x:v>32</x:v>
      </x:c>
      <x:c r="Q55" s="45" t="n">
        <x:f>IF(E55="SAFE",MIN(20,K55+ROUND(P55/10,0)),IF(E55="SHALLOW",MIN(75,K55+ROUND(P55/100,0)),MIN(95,K55)))</x:f>
        <x:v>88</x:v>
      </x:c>
      <x:c r="R55" s="45" t="n">
        <x:f>IF(O55&gt;'Assumptions'!$B$11,MIN(35,ROUND(O55*500,0)),0)</x:f>
        <x:v>35</x:v>
      </x:c>
      <x:c r="S55" s="45" t="n">
        <x:f>IF(J55&gt;'Assumptions'!$B$12,MIN(30,ROUND((J55-'Assumptions'!$B$12)*200,0)),0)</x:f>
        <x:v>30</x:v>
      </x:c>
      <x:c r="T55" s="45" t="n">
        <x:f>IF(Q55&gt;'Assumptions'!$B$13,ROUND(Q55/3,0),0)</x:f>
        <x:v>29</x:v>
      </x:c>
      <x:c r="U55" s="45" t="n">
        <x:f>IF(OR(D55="BAD",D55="BAIT"),100,MIN(100,R55+S55+T55))</x:f>
        <x:v>100</x:v>
      </x:c>
      <x:c r="V55" s="41" t="str">
        <x:f>IF(OR(D55="BAD",D55="BAIT"),"REJECT",IF(U55&gt;='Assumptions'!$B$15,"REJECT",IF(AND(U55&gt;='Assumptions'!$B$14,L55=TRUE),"FALLBACK","ALLOW")))</x:f>
        <x:v>REJECT</x:v>
      </x:c>
    </x:row>
    <x:row r="56">
      <x:c r="A56" s="41" t="n">
        <x:v>10</x:v>
      </x:c>
      <x:c r="B56" s="41" t="str">
        <x:v>route-bad-usdc-safe</x:v>
      </x:c>
      <x:c r="C56" s="41" t="str">
        <x:v>BAD</x:v>
      </x:c>
      <x:c r="D56" s="41" t="str">
        <x:v>USDC</x:v>
      </x:c>
      <x:c r="E56" s="41" t="str">
        <x:v>SAFE</x:v>
      </x:c>
      <x:c r="F56" s="42" t="n">
        <x:v>100</x:v>
      </x:c>
      <x:c r="G56" s="42" t="n">
        <x:v>1</x:v>
      </x:c>
      <x:c r="H56" s="42" t="n">
        <x:v>1000000</x:v>
      </x:c>
      <x:c r="I56" s="42" t="n">
        <x:v>100000000</x:v>
      </x:c>
      <x:c r="J56" s="43" t="n">
        <x:v>0.02</x:v>
      </x:c>
      <x:c r="K56" s="41" t="n">
        <x:v>12</x:v>
      </x:c>
      <x:c r="L56" s="44" t="b">
        <x:v>0</x:v>
      </x:c>
      <x:c r="M56" s="42" t="n">
        <x:f>(A56*997*I56)/(H56*1000+A56*997)</x:f>
        <x:v>996.9900600091017</x:v>
      </x:c>
      <x:c r="N56" s="42" t="n">
        <x:f>(A56*997*(1000000*F56/G56))/(1000000*1000+A56*997)</x:f>
        <x:v>996.9900600091017</x:v>
      </x:c>
      <x:c r="O56" s="43" t="n">
        <x:f>ABS(M56-N56)/N56</x:f>
        <x:v>0</x:v>
      </x:c>
      <x:c r="P56" s="45" t="n">
        <x:f>IF((A56*I56/H56)&lt;=M56,0,INT((((A56*I56/H56)-M56)*10000)/(A56*I56/H56)))</x:f>
        <x:v>30</x:v>
      </x:c>
      <x:c r="Q56" s="45" t="n">
        <x:f>IF(E56="SAFE",MIN(20,K56+ROUND(P56/10,0)),IF(E56="SHALLOW",MIN(75,K56+ROUND(P56/100,0)),MIN(95,K56)))</x:f>
        <x:v>15</x:v>
      </x:c>
      <x:c r="R56" s="45" t="n">
        <x:f>IF(O56&gt;'Assumptions'!$B$11,MIN(35,ROUND(O56*500,0)),0)</x:f>
        <x:v>0</x:v>
      </x:c>
      <x:c r="S56" s="45" t="n">
        <x:f>IF(J56&gt;'Assumptions'!$B$12,MIN(30,ROUND((J56-'Assumptions'!$B$12)*200,0)),0)</x:f>
        <x:v>0</x:v>
      </x:c>
      <x:c r="T56" s="45" t="n">
        <x:f>IF(Q56&gt;'Assumptions'!$B$13,ROUND(Q56/3,0),0)</x:f>
        <x:v>0</x:v>
      </x:c>
      <x:c r="U56" s="45" t="n">
        <x:f>IF(OR(D56="BAD",D56="BAIT"),100,MIN(100,R56+S56+T56))</x:f>
        <x:v>0</x:v>
      </x:c>
      <x:c r="V56" s="41" t="str">
        <x:f>IF(OR(D56="BAD",D56="BAIT"),"REJECT",IF(U56&gt;='Assumptions'!$B$15,"REJECT",IF(AND(U56&gt;='Assumptions'!$B$14,L56=TRUE),"FALLBACK","ALLOW")))</x:f>
        <x:v>ALLOW</x:v>
      </x:c>
    </x:row>
    <x:row r="57">
      <x:c r="A57" s="41" t="n">
        <x:v>10</x:v>
      </x:c>
      <x:c r="B57" s="41" t="str">
        <x:v>route-bad-usdc-shallow</x:v>
      </x:c>
      <x:c r="C57" s="41" t="str">
        <x:v>BAD</x:v>
      </x:c>
      <x:c r="D57" s="41" t="str">
        <x:v>USDC</x:v>
      </x:c>
      <x:c r="E57" s="41" t="str">
        <x:v>SHALLOW</x:v>
      </x:c>
      <x:c r="F57" s="42" t="n">
        <x:v>100</x:v>
      </x:c>
      <x:c r="G57" s="42" t="n">
        <x:v>1</x:v>
      </x:c>
      <x:c r="H57" s="42" t="n">
        <x:v>500</x:v>
      </x:c>
      <x:c r="I57" s="42" t="n">
        <x:v>50000</x:v>
      </x:c>
      <x:c r="J57" s="43" t="n">
        <x:v>0.25</x:v>
      </x:c>
      <x:c r="K57" s="41" t="n">
        <x:v>55</x:v>
      </x:c>
      <x:c r="L57" s="44" t="b">
        <x:v>1</x:v>
      </x:c>
      <x:c r="M57" s="42" t="n">
        <x:f>(A57*997*I57)/(H57*1000+A57*997)</x:f>
        <x:v>977.5084808910328</x:v>
      </x:c>
      <x:c r="N57" s="42" t="n">
        <x:f>(A57*997*(1000000*F57/G57))/(1000000*1000+A57*997)</x:f>
        <x:v>996.9900600091017</x:v>
      </x:c>
      <x:c r="O57" s="43" t="n">
        <x:f>ABS(M57-N57)/N57</x:f>
        <x:v>0.01954039453301175</x:v>
      </x:c>
      <x:c r="P57" s="45" t="n">
        <x:f>IF((A57*I57/H57)&lt;=M57,0,INT((((A57*I57/H57)-M57)*10000)/(A57*I57/H57)))</x:f>
        <x:v>224</x:v>
      </x:c>
      <x:c r="Q57" s="45" t="n">
        <x:f>IF(E57="SAFE",MIN(20,K57+ROUND(P57/10,0)),IF(E57="SHALLOW",MIN(75,K57+ROUND(P57/100,0)),MIN(95,K57)))</x:f>
        <x:v>57</x:v>
      </x:c>
      <x:c r="R57" s="45" t="n">
        <x:f>IF(O57&gt;'Assumptions'!$B$11,MIN(35,ROUND(O57*500,0)),0)</x:f>
        <x:v>10</x:v>
      </x:c>
      <x:c r="S57" s="45" t="n">
        <x:f>IF(J57&gt;'Assumptions'!$B$12,MIN(30,ROUND((J57-'Assumptions'!$B$12)*200,0)),0)</x:f>
        <x:v>10</x:v>
      </x:c>
      <x:c r="T57" s="45" t="n">
        <x:f>IF(Q57&gt;'Assumptions'!$B$13,ROUND(Q57/3,0),0)</x:f>
        <x:v>0</x:v>
      </x:c>
      <x:c r="U57" s="45" t="n">
        <x:f>IF(OR(D57="BAD",D57="BAIT"),100,MIN(100,R57+S57+T57))</x:f>
        <x:v>20</x:v>
      </x:c>
      <x:c r="V57" s="41" t="str">
        <x:f>IF(OR(D57="BAD",D57="BAIT"),"REJECT",IF(U57&gt;='Assumptions'!$B$15,"REJECT",IF(AND(U57&gt;='Assumptions'!$B$14,L57=TRUE),"FALLBACK","ALLOW")))</x:f>
        <x:v>ALLOW</x:v>
      </x:c>
    </x:row>
    <x:row r="58">
      <x:c r="A58" s="41" t="n">
        <x:v>10</x:v>
      </x:c>
      <x:c r="B58" s="41" t="str">
        <x:v>route-bad-usdc-toxic</x:v>
      </x:c>
      <x:c r="C58" s="41" t="str">
        <x:v>BAD</x:v>
      </x:c>
      <x:c r="D58" s="41" t="str">
        <x:v>USDC</x:v>
      </x:c>
      <x:c r="E58" s="41" t="str">
        <x:v>TOXIC</x:v>
      </x:c>
      <x:c r="F58" s="42" t="n">
        <x:v>100</x:v>
      </x:c>
      <x:c r="G58" s="42" t="n">
        <x:v>1</x:v>
      </x:c>
      <x:c r="H58" s="42" t="n">
        <x:v>40000</x:v>
      </x:c>
      <x:c r="I58" s="42" t="n">
        <x:v>5000000</x:v>
      </x:c>
      <x:c r="J58" s="43" t="n">
        <x:v>0.35</x:v>
      </x:c>
      <x:c r="K58" s="41" t="n">
        <x:v>88</x:v>
      </x:c>
      <x:c r="L58" s="44" t="b">
        <x:v>1</x:v>
      </x:c>
      <x:c r="M58" s="42" t="n">
        <x:f>(A58*997*I58)/(H58*1000+A58*997)</x:f>
        <x:v>1245.9394495921892</x:v>
      </x:c>
      <x:c r="N58" s="42" t="n">
        <x:f>(A58*997*(1000000*F58/G58))/(1000000*1000+A58*997)</x:f>
        <x:v>996.9900600091017</x:v>
      </x:c>
      <x:c r="O58" s="43" t="n">
        <x:f>ABS(M58-N58)/N58</x:f>
        <x:v>0.24970097453209794</x:v>
      </x:c>
      <x:c r="P58" s="45" t="n">
        <x:f>IF((A58*I58/H58)&lt;=M58,0,INT((((A58*I58/H58)-M58)*10000)/(A58*I58/H58)))</x:f>
        <x:v>32</x:v>
      </x:c>
      <x:c r="Q58" s="45" t="n">
        <x:f>IF(E58="SAFE",MIN(20,K58+ROUND(P58/10,0)),IF(E58="SHALLOW",MIN(75,K58+ROUND(P58/100,0)),MIN(95,K58)))</x:f>
        <x:v>88</x:v>
      </x:c>
      <x:c r="R58" s="45" t="n">
        <x:f>IF(O58&gt;'Assumptions'!$B$11,MIN(35,ROUND(O58*500,0)),0)</x:f>
        <x:v>35</x:v>
      </x:c>
      <x:c r="S58" s="45" t="n">
        <x:f>IF(J58&gt;'Assumptions'!$B$12,MIN(30,ROUND((J58-'Assumptions'!$B$12)*200,0)),0)</x:f>
        <x:v>30</x:v>
      </x:c>
      <x:c r="T58" s="45" t="n">
        <x:f>IF(Q58&gt;'Assumptions'!$B$13,ROUND(Q58/3,0),0)</x:f>
        <x:v>29</x:v>
      </x:c>
      <x:c r="U58" s="45" t="n">
        <x:f>IF(OR(D58="BAD",D58="BAIT"),100,MIN(100,R58+S58+T58))</x:f>
        <x:v>94</x:v>
      </x:c>
      <x:c r="V58" s="41" t="str">
        <x:f>IF(OR(D58="BAD",D58="BAIT"),"REJECT",IF(U58&gt;='Assumptions'!$B$15,"REJECT",IF(AND(U58&gt;='Assumptions'!$B$14,L58=TRUE),"FALLBACK","ALLOW")))</x:f>
        <x:v>REJECT</x:v>
      </x:c>
    </x:row>
    <x:row r="59">
      <x:c r="A59" s="41" t="n">
        <x:v>10</x:v>
      </x:c>
      <x:c r="B59" s="41" t="str">
        <x:v>route-bad-good-safe</x:v>
      </x:c>
      <x:c r="C59" s="41" t="str">
        <x:v>BAD</x:v>
      </x:c>
      <x:c r="D59" s="41" t="str">
        <x:v>GOOD</x:v>
      </x:c>
      <x:c r="E59" s="41" t="str">
        <x:v>SAFE</x:v>
      </x:c>
      <x:c r="F59" s="42" t="n">
        <x:v>100</x:v>
      </x:c>
      <x:c r="G59" s="42" t="n">
        <x:v>20</x:v>
      </x:c>
      <x:c r="H59" s="42" t="n">
        <x:v>1000000</x:v>
      </x:c>
      <x:c r="I59" s="42" t="n">
        <x:v>5000000</x:v>
      </x:c>
      <x:c r="J59" s="43" t="n">
        <x:v>0.02</x:v>
      </x:c>
      <x:c r="K59" s="41" t="n">
        <x:v>12</x:v>
      </x:c>
      <x:c r="L59" s="44" t="b">
        <x:v>0</x:v>
      </x:c>
      <x:c r="M59" s="42" t="n">
        <x:f>(A59*997*I59)/(H59*1000+A59*997)</x:f>
        <x:v>49.84950300045509</x:v>
      </x:c>
      <x:c r="N59" s="42" t="n">
        <x:f>(A59*997*(1000000*F59/G59))/(1000000*1000+A59*997)</x:f>
        <x:v>49.84950300045509</x:v>
      </x:c>
      <x:c r="O59" s="43" t="n">
        <x:f>ABS(M59-N59)/N59</x:f>
        <x:v>0</x:v>
      </x:c>
      <x:c r="P59" s="45" t="n">
        <x:f>IF((A59*I59/H59)&lt;=M59,0,INT((((A59*I59/H59)-M59)*10000)/(A59*I59/H59)))</x:f>
        <x:v>30</x:v>
      </x:c>
      <x:c r="Q59" s="45" t="n">
        <x:f>IF(E59="SAFE",MIN(20,K59+ROUND(P59/10,0)),IF(E59="SHALLOW",MIN(75,K59+ROUND(P59/100,0)),MIN(95,K59)))</x:f>
        <x:v>15</x:v>
      </x:c>
      <x:c r="R59" s="45" t="n">
        <x:f>IF(O59&gt;'Assumptions'!$B$11,MIN(35,ROUND(O59*500,0)),0)</x:f>
        <x:v>0</x:v>
      </x:c>
      <x:c r="S59" s="45" t="n">
        <x:f>IF(J59&gt;'Assumptions'!$B$12,MIN(30,ROUND((J59-'Assumptions'!$B$12)*200,0)),0)</x:f>
        <x:v>0</x:v>
      </x:c>
      <x:c r="T59" s="45" t="n">
        <x:f>IF(Q59&gt;'Assumptions'!$B$13,ROUND(Q59/3,0),0)</x:f>
        <x:v>0</x:v>
      </x:c>
      <x:c r="U59" s="45" t="n">
        <x:f>IF(OR(D59="BAD",D59="BAIT"),100,MIN(100,R59+S59+T59))</x:f>
        <x:v>0</x:v>
      </x:c>
      <x:c r="V59" s="41" t="str">
        <x:f>IF(OR(D59="BAD",D59="BAIT"),"REJECT",IF(U59&gt;='Assumptions'!$B$15,"REJECT",IF(AND(U59&gt;='Assumptions'!$B$14,L59=TRUE),"FALLBACK","ALLOW")))</x:f>
        <x:v>ALLOW</x:v>
      </x:c>
    </x:row>
    <x:row r="60">
      <x:c r="A60" s="41" t="n">
        <x:v>10</x:v>
      </x:c>
      <x:c r="B60" s="41" t="str">
        <x:v>route-bad-good-shallow</x:v>
      </x:c>
      <x:c r="C60" s="41" t="str">
        <x:v>BAD</x:v>
      </x:c>
      <x:c r="D60" s="41" t="str">
        <x:v>GOOD</x:v>
      </x:c>
      <x:c r="E60" s="41" t="str">
        <x:v>SHALLOW</x:v>
      </x:c>
      <x:c r="F60" s="42" t="n">
        <x:v>100</x:v>
      </x:c>
      <x:c r="G60" s="42" t="n">
        <x:v>20</x:v>
      </x:c>
      <x:c r="H60" s="42" t="n">
        <x:v>500</x:v>
      </x:c>
      <x:c r="I60" s="42" t="n">
        <x:v>2500</x:v>
      </x:c>
      <x:c r="J60" s="43" t="n">
        <x:v>0.25</x:v>
      </x:c>
      <x:c r="K60" s="41" t="n">
        <x:v>55</x:v>
      </x:c>
      <x:c r="L60" s="44" t="b">
        <x:v>1</x:v>
      </x:c>
      <x:c r="M60" s="42" t="n">
        <x:f>(A60*997*I60)/(H60*1000+A60*997)</x:f>
        <x:v>48.87542404455164</x:v>
      </x:c>
      <x:c r="N60" s="42" t="n">
        <x:f>(A60*997*(1000000*F60/G60))/(1000000*1000+A60*997)</x:f>
        <x:v>49.84950300045509</x:v>
      </x:c>
      <x:c r="O60" s="43" t="n">
        <x:f>ABS(M60-N60)/N60</x:f>
        <x:v>0.01954039453301172</x:v>
      </x:c>
      <x:c r="P60" s="45" t="n">
        <x:f>IF((A60*I60/H60)&lt;=M60,0,INT((((A60*I60/H60)-M60)*10000)/(A60*I60/H60)))</x:f>
        <x:v>224</x:v>
      </x:c>
      <x:c r="Q60" s="45" t="n">
        <x:f>IF(E60="SAFE",MIN(20,K60+ROUND(P60/10,0)),IF(E60="SHALLOW",MIN(75,K60+ROUND(P60/100,0)),MIN(95,K60)))</x:f>
        <x:v>57</x:v>
      </x:c>
      <x:c r="R60" s="45" t="n">
        <x:f>IF(O60&gt;'Assumptions'!$B$11,MIN(35,ROUND(O60*500,0)),0)</x:f>
        <x:v>10</x:v>
      </x:c>
      <x:c r="S60" s="45" t="n">
        <x:f>IF(J60&gt;'Assumptions'!$B$12,MIN(30,ROUND((J60-'Assumptions'!$B$12)*200,0)),0)</x:f>
        <x:v>10</x:v>
      </x:c>
      <x:c r="T60" s="45" t="n">
        <x:f>IF(Q60&gt;'Assumptions'!$B$13,ROUND(Q60/3,0),0)</x:f>
        <x:v>0</x:v>
      </x:c>
      <x:c r="U60" s="45" t="n">
        <x:f>IF(OR(D60="BAD",D60="BAIT"),100,MIN(100,R60+S60+T60))</x:f>
        <x:v>20</x:v>
      </x:c>
      <x:c r="V60" s="41" t="str">
        <x:f>IF(OR(D60="BAD",D60="BAIT"),"REJECT",IF(U60&gt;='Assumptions'!$B$15,"REJECT",IF(AND(U60&gt;='Assumptions'!$B$14,L60=TRUE),"FALLBACK","ALLOW")))</x:f>
        <x:v>ALLOW</x:v>
      </x:c>
    </x:row>
    <x:row r="61">
      <x:c r="A61" s="41" t="n">
        <x:v>10</x:v>
      </x:c>
      <x:c r="B61" s="41" t="str">
        <x:v>route-bad-good-toxic</x:v>
      </x:c>
      <x:c r="C61" s="41" t="str">
        <x:v>BAD</x:v>
      </x:c>
      <x:c r="D61" s="41" t="str">
        <x:v>GOOD</x:v>
      </x:c>
      <x:c r="E61" s="41" t="str">
        <x:v>TOXIC</x:v>
      </x:c>
      <x:c r="F61" s="42" t="n">
        <x:v>100</x:v>
      </x:c>
      <x:c r="G61" s="42" t="n">
        <x:v>20</x:v>
      </x:c>
      <x:c r="H61" s="42" t="n">
        <x:v>40000</x:v>
      </x:c>
      <x:c r="I61" s="42" t="n">
        <x:v>250000</x:v>
      </x:c>
      <x:c r="J61" s="43" t="n">
        <x:v>0.35</x:v>
      </x:c>
      <x:c r="K61" s="41" t="n">
        <x:v>88</x:v>
      </x:c>
      <x:c r="L61" s="44" t="b">
        <x:v>1</x:v>
      </x:c>
      <x:c r="M61" s="42" t="n">
        <x:f>(A61*997*I61)/(H61*1000+A61*997)</x:f>
        <x:v>62.29697247960946</x:v>
      </x:c>
      <x:c r="N61" s="42" t="n">
        <x:f>(A61*997*(1000000*F61/G61))/(1000000*1000+A61*997)</x:f>
        <x:v>49.84950300045509</x:v>
      </x:c>
      <x:c r="O61" s="43" t="n">
        <x:f>ABS(M61-N61)/N61</x:f>
        <x:v>0.24970097453209786</x:v>
      </x:c>
      <x:c r="P61" s="45" t="n">
        <x:f>IF((A61*I61/H61)&lt;=M61,0,INT((((A61*I61/H61)-M61)*10000)/(A61*I61/H61)))</x:f>
        <x:v>32</x:v>
      </x:c>
      <x:c r="Q61" s="45" t="n">
        <x:f>IF(E61="SAFE",MIN(20,K61+ROUND(P61/10,0)),IF(E61="SHALLOW",MIN(75,K61+ROUND(P61/100,0)),MIN(95,K61)))</x:f>
        <x:v>88</x:v>
      </x:c>
      <x:c r="R61" s="45" t="n">
        <x:f>IF(O61&gt;'Assumptions'!$B$11,MIN(35,ROUND(O61*500,0)),0)</x:f>
        <x:v>35</x:v>
      </x:c>
      <x:c r="S61" s="45" t="n">
        <x:f>IF(J61&gt;'Assumptions'!$B$12,MIN(30,ROUND((J61-'Assumptions'!$B$12)*200,0)),0)</x:f>
        <x:v>30</x:v>
      </x:c>
      <x:c r="T61" s="45" t="n">
        <x:f>IF(Q61&gt;'Assumptions'!$B$13,ROUND(Q61/3,0),0)</x:f>
        <x:v>29</x:v>
      </x:c>
      <x:c r="U61" s="45" t="n">
        <x:f>IF(OR(D61="BAD",D61="BAIT"),100,MIN(100,R61+S61+T61))</x:f>
        <x:v>94</x:v>
      </x:c>
      <x:c r="V61" s="41" t="str">
        <x:f>IF(OR(D61="BAD",D61="BAIT"),"REJECT",IF(U61&gt;='Assumptions'!$B$15,"REJECT",IF(AND(U61&gt;='Assumptions'!$B$14,L61=TRUE),"FALLBACK","ALLOW")))</x:f>
        <x:v>REJECT</x:v>
      </x:c>
    </x:row>
    <x:row r="62">
      <x:c r="A62" s="41" t="n">
        <x:v>10</x:v>
      </x:c>
      <x:c r="B62" s="41" t="str">
        <x:v>route-bad-bait-safe</x:v>
      </x:c>
      <x:c r="C62" s="41" t="str">
        <x:v>BAD</x:v>
      </x:c>
      <x:c r="D62" s="41" t="str">
        <x:v>BAIT</x:v>
      </x:c>
      <x:c r="E62" s="41" t="str">
        <x:v>SAFE</x:v>
      </x:c>
      <x:c r="F62" s="42" t="n">
        <x:v>100</x:v>
      </x:c>
      <x:c r="G62" s="42" t="n">
        <x:v>1</x:v>
      </x:c>
      <x:c r="H62" s="42" t="n">
        <x:v>1000000</x:v>
      </x:c>
      <x:c r="I62" s="42" t="n">
        <x:v>100000000</x:v>
      </x:c>
      <x:c r="J62" s="43" t="n">
        <x:v>0.02</x:v>
      </x:c>
      <x:c r="K62" s="41" t="n">
        <x:v>12</x:v>
      </x:c>
      <x:c r="L62" s="44" t="b">
        <x:v>0</x:v>
      </x:c>
      <x:c r="M62" s="42" t="n">
        <x:f>(A62*997*I62)/(H62*1000+A62*997)</x:f>
        <x:v>996.9900600091017</x:v>
      </x:c>
      <x:c r="N62" s="42" t="n">
        <x:f>(A62*997*(1000000*F62/G62))/(1000000*1000+A62*997)</x:f>
        <x:v>996.9900600091017</x:v>
      </x:c>
      <x:c r="O62" s="43" t="n">
        <x:f>ABS(M62-N62)/N62</x:f>
        <x:v>0</x:v>
      </x:c>
      <x:c r="P62" s="45" t="n">
        <x:f>IF((A62*I62/H62)&lt;=M62,0,INT((((A62*I62/H62)-M62)*10000)/(A62*I62/H62)))</x:f>
        <x:v>30</x:v>
      </x:c>
      <x:c r="Q62" s="45" t="n">
        <x:f>IF(E62="SAFE",MIN(20,K62+ROUND(P62/10,0)),IF(E62="SHALLOW",MIN(75,K62+ROUND(P62/100,0)),MIN(95,K62)))</x:f>
        <x:v>15</x:v>
      </x:c>
      <x:c r="R62" s="45" t="n">
        <x:f>IF(O62&gt;'Assumptions'!$B$11,MIN(35,ROUND(O62*500,0)),0)</x:f>
        <x:v>0</x:v>
      </x:c>
      <x:c r="S62" s="45" t="n">
        <x:f>IF(J62&gt;'Assumptions'!$B$12,MIN(30,ROUND((J62-'Assumptions'!$B$12)*200,0)),0)</x:f>
        <x:v>0</x:v>
      </x:c>
      <x:c r="T62" s="45" t="n">
        <x:f>IF(Q62&gt;'Assumptions'!$B$13,ROUND(Q62/3,0),0)</x:f>
        <x:v>0</x:v>
      </x:c>
      <x:c r="U62" s="45" t="n">
        <x:f>IF(OR(D62="BAD",D62="BAIT"),100,MIN(100,R62+S62+T62))</x:f>
        <x:v>100</x:v>
      </x:c>
      <x:c r="V62" s="41" t="str">
        <x:f>IF(OR(D62="BAD",D62="BAIT"),"REJECT",IF(U62&gt;='Assumptions'!$B$15,"REJECT",IF(AND(U62&gt;='Assumptions'!$B$14,L62=TRUE),"FALLBACK","ALLOW")))</x:f>
        <x:v>REJECT</x:v>
      </x:c>
    </x:row>
    <x:row r="63">
      <x:c r="A63" s="41" t="n">
        <x:v>10</x:v>
      </x:c>
      <x:c r="B63" s="41" t="str">
        <x:v>route-bad-bait-shallow</x:v>
      </x:c>
      <x:c r="C63" s="41" t="str">
        <x:v>BAD</x:v>
      </x:c>
      <x:c r="D63" s="41" t="str">
        <x:v>BAIT</x:v>
      </x:c>
      <x:c r="E63" s="41" t="str">
        <x:v>SHALLOW</x:v>
      </x:c>
      <x:c r="F63" s="42" t="n">
        <x:v>100</x:v>
      </x:c>
      <x:c r="G63" s="42" t="n">
        <x:v>1</x:v>
      </x:c>
      <x:c r="H63" s="42" t="n">
        <x:v>500</x:v>
      </x:c>
      <x:c r="I63" s="42" t="n">
        <x:v>50000</x:v>
      </x:c>
      <x:c r="J63" s="43" t="n">
        <x:v>0.25</x:v>
      </x:c>
      <x:c r="K63" s="41" t="n">
        <x:v>55</x:v>
      </x:c>
      <x:c r="L63" s="44" t="b">
        <x:v>1</x:v>
      </x:c>
      <x:c r="M63" s="42" t="n">
        <x:f>(A63*997*I63)/(H63*1000+A63*997)</x:f>
        <x:v>977.5084808910328</x:v>
      </x:c>
      <x:c r="N63" s="42" t="n">
        <x:f>(A63*997*(1000000*F63/G63))/(1000000*1000+A63*997)</x:f>
        <x:v>996.9900600091017</x:v>
      </x:c>
      <x:c r="O63" s="43" t="n">
        <x:f>ABS(M63-N63)/N63</x:f>
        <x:v>0.01954039453301175</x:v>
      </x:c>
      <x:c r="P63" s="45" t="n">
        <x:f>IF((A63*I63/H63)&lt;=M63,0,INT((((A63*I63/H63)-M63)*10000)/(A63*I63/H63)))</x:f>
        <x:v>224</x:v>
      </x:c>
      <x:c r="Q63" s="45" t="n">
        <x:f>IF(E63="SAFE",MIN(20,K63+ROUND(P63/10,0)),IF(E63="SHALLOW",MIN(75,K63+ROUND(P63/100,0)),MIN(95,K63)))</x:f>
        <x:v>57</x:v>
      </x:c>
      <x:c r="R63" s="45" t="n">
        <x:f>IF(O63&gt;'Assumptions'!$B$11,MIN(35,ROUND(O63*500,0)),0)</x:f>
        <x:v>10</x:v>
      </x:c>
      <x:c r="S63" s="45" t="n">
        <x:f>IF(J63&gt;'Assumptions'!$B$12,MIN(30,ROUND((J63-'Assumptions'!$B$12)*200,0)),0)</x:f>
        <x:v>10</x:v>
      </x:c>
      <x:c r="T63" s="45" t="n">
        <x:f>IF(Q63&gt;'Assumptions'!$B$13,ROUND(Q63/3,0),0)</x:f>
        <x:v>0</x:v>
      </x:c>
      <x:c r="U63" s="45" t="n">
        <x:f>IF(OR(D63="BAD",D63="BAIT"),100,MIN(100,R63+S63+T63))</x:f>
        <x:v>100</x:v>
      </x:c>
      <x:c r="V63" s="41" t="str">
        <x:f>IF(OR(D63="BAD",D63="BAIT"),"REJECT",IF(U63&gt;='Assumptions'!$B$15,"REJECT",IF(AND(U63&gt;='Assumptions'!$B$14,L63=TRUE),"FALLBACK","ALLOW")))</x:f>
        <x:v>REJECT</x:v>
      </x:c>
    </x:row>
    <x:row r="64">
      <x:c r="A64" s="41" t="n">
        <x:v>10</x:v>
      </x:c>
      <x:c r="B64" s="41" t="str">
        <x:v>route-bad-bait-toxic</x:v>
      </x:c>
      <x:c r="C64" s="41" t="str">
        <x:v>BAD</x:v>
      </x:c>
      <x:c r="D64" s="41" t="str">
        <x:v>BAIT</x:v>
      </x:c>
      <x:c r="E64" s="41" t="str">
        <x:v>TOXIC</x:v>
      </x:c>
      <x:c r="F64" s="42" t="n">
        <x:v>100</x:v>
      </x:c>
      <x:c r="G64" s="42" t="n">
        <x:v>1</x:v>
      </x:c>
      <x:c r="H64" s="42" t="n">
        <x:v>40000</x:v>
      </x:c>
      <x:c r="I64" s="42" t="n">
        <x:v>5000000</x:v>
      </x:c>
      <x:c r="J64" s="43" t="n">
        <x:v>0.35</x:v>
      </x:c>
      <x:c r="K64" s="41" t="n">
        <x:v>88</x:v>
      </x:c>
      <x:c r="L64" s="44" t="b">
        <x:v>1</x:v>
      </x:c>
      <x:c r="M64" s="42" t="n">
        <x:f>(A64*997*I64)/(H64*1000+A64*997)</x:f>
        <x:v>1245.9394495921892</x:v>
      </x:c>
      <x:c r="N64" s="42" t="n">
        <x:f>(A64*997*(1000000*F64/G64))/(1000000*1000+A64*997)</x:f>
        <x:v>996.9900600091017</x:v>
      </x:c>
      <x:c r="O64" s="43" t="n">
        <x:f>ABS(M64-N64)/N64</x:f>
        <x:v>0.24970097453209794</x:v>
      </x:c>
      <x:c r="P64" s="45" t="n">
        <x:f>IF((A64*I64/H64)&lt;=M64,0,INT((((A64*I64/H64)-M64)*10000)/(A64*I64/H64)))</x:f>
        <x:v>32</x:v>
      </x:c>
      <x:c r="Q64" s="45" t="n">
        <x:f>IF(E64="SAFE",MIN(20,K64+ROUND(P64/10,0)),IF(E64="SHALLOW",MIN(75,K64+ROUND(P64/100,0)),MIN(95,K64)))</x:f>
        <x:v>88</x:v>
      </x:c>
      <x:c r="R64" s="45" t="n">
        <x:f>IF(O64&gt;'Assumptions'!$B$11,MIN(35,ROUND(O64*500,0)),0)</x:f>
        <x:v>35</x:v>
      </x:c>
      <x:c r="S64" s="45" t="n">
        <x:f>IF(J64&gt;'Assumptions'!$B$12,MIN(30,ROUND((J64-'Assumptions'!$B$12)*200,0)),0)</x:f>
        <x:v>30</x:v>
      </x:c>
      <x:c r="T64" s="45" t="n">
        <x:f>IF(Q64&gt;'Assumptions'!$B$13,ROUND(Q64/3,0),0)</x:f>
        <x:v>29</x:v>
      </x:c>
      <x:c r="U64" s="45" t="n">
        <x:f>IF(OR(D64="BAD",D64="BAIT"),100,MIN(100,R64+S64+T64))</x:f>
        <x:v>100</x:v>
      </x:c>
      <x:c r="V64" s="41" t="str">
        <x:f>IF(OR(D64="BAD",D64="BAIT"),"REJECT",IF(U64&gt;='Assumptions'!$B$15,"REJECT",IF(AND(U64&gt;='Assumptions'!$B$14,L64=TRUE),"FALLBACK","ALLOW")))</x:f>
        <x:v>REJECT</x:v>
      </x:c>
    </x:row>
    <x:row r="65">
      <x:c r="A65" s="41" t="n">
        <x:v>10</x:v>
      </x:c>
      <x:c r="B65" s="41" t="str">
        <x:v>route-bait-usdc-safe</x:v>
      </x:c>
      <x:c r="C65" s="41" t="str">
        <x:v>BAIT</x:v>
      </x:c>
      <x:c r="D65" s="41" t="str">
        <x:v>USDC</x:v>
      </x:c>
      <x:c r="E65" s="41" t="str">
        <x:v>SAFE</x:v>
      </x:c>
      <x:c r="F65" s="42" t="n">
        <x:v>1</x:v>
      </x:c>
      <x:c r="G65" s="42" t="n">
        <x:v>1</x:v>
      </x:c>
      <x:c r="H65" s="42" t="n">
        <x:v>1000000</x:v>
      </x:c>
      <x:c r="I65" s="42" t="n">
        <x:v>1000000</x:v>
      </x:c>
      <x:c r="J65" s="43" t="n">
        <x:v>0.02</x:v>
      </x:c>
      <x:c r="K65" s="41" t="n">
        <x:v>12</x:v>
      </x:c>
      <x:c r="L65" s="44" t="b">
        <x:v>0</x:v>
      </x:c>
      <x:c r="M65" s="42" t="n">
        <x:f>(A65*997*I65)/(H65*1000+A65*997)</x:f>
        <x:v>9.969900600091018</x:v>
      </x:c>
      <x:c r="N65" s="42" t="n">
        <x:f>(A65*997*(1000000*F65/G65))/(1000000*1000+A65*997)</x:f>
        <x:v>9.969900600091018</x:v>
      </x:c>
      <x:c r="O65" s="43" t="n">
        <x:f>ABS(M65-N65)/N65</x:f>
        <x:v>0</x:v>
      </x:c>
      <x:c r="P65" s="45" t="n">
        <x:f>IF((A65*I65/H65)&lt;=M65,0,INT((((A65*I65/H65)-M65)*10000)/(A65*I65/H65)))</x:f>
        <x:v>30</x:v>
      </x:c>
      <x:c r="Q65" s="45" t="n">
        <x:f>IF(E65="SAFE",MIN(20,K65+ROUND(P65/10,0)),IF(E65="SHALLOW",MIN(75,K65+ROUND(P65/100,0)),MIN(95,K65)))</x:f>
        <x:v>15</x:v>
      </x:c>
      <x:c r="R65" s="45" t="n">
        <x:f>IF(O65&gt;'Assumptions'!$B$11,MIN(35,ROUND(O65*500,0)),0)</x:f>
        <x:v>0</x:v>
      </x:c>
      <x:c r="S65" s="45" t="n">
        <x:f>IF(J65&gt;'Assumptions'!$B$12,MIN(30,ROUND((J65-'Assumptions'!$B$12)*200,0)),0)</x:f>
        <x:v>0</x:v>
      </x:c>
      <x:c r="T65" s="45" t="n">
        <x:f>IF(Q65&gt;'Assumptions'!$B$13,ROUND(Q65/3,0),0)</x:f>
        <x:v>0</x:v>
      </x:c>
      <x:c r="U65" s="45" t="n">
        <x:f>IF(OR(D65="BAD",D65="BAIT"),100,MIN(100,R65+S65+T65))</x:f>
        <x:v>0</x:v>
      </x:c>
      <x:c r="V65" s="41" t="str">
        <x:f>IF(OR(D65="BAD",D65="BAIT"),"REJECT",IF(U65&gt;='Assumptions'!$B$15,"REJECT",IF(AND(U65&gt;='Assumptions'!$B$14,L65=TRUE),"FALLBACK","ALLOW")))</x:f>
        <x:v>ALLOW</x:v>
      </x:c>
    </x:row>
    <x:row r="66">
      <x:c r="A66" s="41" t="n">
        <x:v>10</x:v>
      </x:c>
      <x:c r="B66" s="41" t="str">
        <x:v>route-bait-usdc-shallow</x:v>
      </x:c>
      <x:c r="C66" s="41" t="str">
        <x:v>BAIT</x:v>
      </x:c>
      <x:c r="D66" s="41" t="str">
        <x:v>USDC</x:v>
      </x:c>
      <x:c r="E66" s="41" t="str">
        <x:v>SHALLOW</x:v>
      </x:c>
      <x:c r="F66" s="42" t="n">
        <x:v>1</x:v>
      </x:c>
      <x:c r="G66" s="42" t="n">
        <x:v>1</x:v>
      </x:c>
      <x:c r="H66" s="42" t="n">
        <x:v>500</x:v>
      </x:c>
      <x:c r="I66" s="42" t="n">
        <x:v>500</x:v>
      </x:c>
      <x:c r="J66" s="43" t="n">
        <x:v>0.25</x:v>
      </x:c>
      <x:c r="K66" s="41" t="n">
        <x:v>55</x:v>
      </x:c>
      <x:c r="L66" s="44" t="b">
        <x:v>1</x:v>
      </x:c>
      <x:c r="M66" s="42" t="n">
        <x:f>(A66*997*I66)/(H66*1000+A66*997)</x:f>
        <x:v>9.775084808910329</x:v>
      </x:c>
      <x:c r="N66" s="42" t="n">
        <x:f>(A66*997*(1000000*F66/G66))/(1000000*1000+A66*997)</x:f>
        <x:v>9.969900600091018</x:v>
      </x:c>
      <x:c r="O66" s="43" t="n">
        <x:f>ABS(M66-N66)/N66</x:f>
        <x:v>0.019540394533011755</x:v>
      </x:c>
      <x:c r="P66" s="45" t="n">
        <x:f>IF((A66*I66/H66)&lt;=M66,0,INT((((A66*I66/H66)-M66)*10000)/(A66*I66/H66)))</x:f>
        <x:v>224</x:v>
      </x:c>
      <x:c r="Q66" s="45" t="n">
        <x:f>IF(E66="SAFE",MIN(20,K66+ROUND(P66/10,0)),IF(E66="SHALLOW",MIN(75,K66+ROUND(P66/100,0)),MIN(95,K66)))</x:f>
        <x:v>57</x:v>
      </x:c>
      <x:c r="R66" s="45" t="n">
        <x:f>IF(O66&gt;'Assumptions'!$B$11,MIN(35,ROUND(O66*500,0)),0)</x:f>
        <x:v>10</x:v>
      </x:c>
      <x:c r="S66" s="45" t="n">
        <x:f>IF(J66&gt;'Assumptions'!$B$12,MIN(30,ROUND((J66-'Assumptions'!$B$12)*200,0)),0)</x:f>
        <x:v>10</x:v>
      </x:c>
      <x:c r="T66" s="45" t="n">
        <x:f>IF(Q66&gt;'Assumptions'!$B$13,ROUND(Q66/3,0),0)</x:f>
        <x:v>0</x:v>
      </x:c>
      <x:c r="U66" s="45" t="n">
        <x:f>IF(OR(D66="BAD",D66="BAIT"),100,MIN(100,R66+S66+T66))</x:f>
        <x:v>20</x:v>
      </x:c>
      <x:c r="V66" s="41" t="str">
        <x:f>IF(OR(D66="BAD",D66="BAIT"),"REJECT",IF(U66&gt;='Assumptions'!$B$15,"REJECT",IF(AND(U66&gt;='Assumptions'!$B$14,L66=TRUE),"FALLBACK","ALLOW")))</x:f>
        <x:v>ALLOW</x:v>
      </x:c>
    </x:row>
    <x:row r="67">
      <x:c r="A67" s="41" t="n">
        <x:v>10</x:v>
      </x:c>
      <x:c r="B67" s="41" t="str">
        <x:v>route-bait-usdc-toxic</x:v>
      </x:c>
      <x:c r="C67" s="41" t="str">
        <x:v>BAIT</x:v>
      </x:c>
      <x:c r="D67" s="41" t="str">
        <x:v>USDC</x:v>
      </x:c>
      <x:c r="E67" s="41" t="str">
        <x:v>TOXIC</x:v>
      </x:c>
      <x:c r="F67" s="42" t="n">
        <x:v>1</x:v>
      </x:c>
      <x:c r="G67" s="42" t="n">
        <x:v>1</x:v>
      </x:c>
      <x:c r="H67" s="42" t="n">
        <x:v>40000</x:v>
      </x:c>
      <x:c r="I67" s="42" t="n">
        <x:v>50000</x:v>
      </x:c>
      <x:c r="J67" s="43" t="n">
        <x:v>0.35</x:v>
      </x:c>
      <x:c r="K67" s="41" t="n">
        <x:v>88</x:v>
      </x:c>
      <x:c r="L67" s="44" t="b">
        <x:v>1</x:v>
      </x:c>
      <x:c r="M67" s="42" t="n">
        <x:f>(A67*997*I67)/(H67*1000+A67*997)</x:f>
        <x:v>12.459394495921892</x:v>
      </x:c>
      <x:c r="N67" s="42" t="n">
        <x:f>(A67*997*(1000000*F67/G67))/(1000000*1000+A67*997)</x:f>
        <x:v>9.969900600091018</x:v>
      </x:c>
      <x:c r="O67" s="43" t="n">
        <x:f>ABS(M67-N67)/N67</x:f>
        <x:v>0.2497009745320978</x:v>
      </x:c>
      <x:c r="P67" s="45" t="n">
        <x:f>IF((A67*I67/H67)&lt;=M67,0,INT((((A67*I67/H67)-M67)*10000)/(A67*I67/H67)))</x:f>
        <x:v>32</x:v>
      </x:c>
      <x:c r="Q67" s="45" t="n">
        <x:f>IF(E67="SAFE",MIN(20,K67+ROUND(P67/10,0)),IF(E67="SHALLOW",MIN(75,K67+ROUND(P67/100,0)),MIN(95,K67)))</x:f>
        <x:v>88</x:v>
      </x:c>
      <x:c r="R67" s="45" t="n">
        <x:f>IF(O67&gt;'Assumptions'!$B$11,MIN(35,ROUND(O67*500,0)),0)</x:f>
        <x:v>35</x:v>
      </x:c>
      <x:c r="S67" s="45" t="n">
        <x:f>IF(J67&gt;'Assumptions'!$B$12,MIN(30,ROUND((J67-'Assumptions'!$B$12)*200,0)),0)</x:f>
        <x:v>30</x:v>
      </x:c>
      <x:c r="T67" s="45" t="n">
        <x:f>IF(Q67&gt;'Assumptions'!$B$13,ROUND(Q67/3,0),0)</x:f>
        <x:v>29</x:v>
      </x:c>
      <x:c r="U67" s="45" t="n">
        <x:f>IF(OR(D67="BAD",D67="BAIT"),100,MIN(100,R67+S67+T67))</x:f>
        <x:v>94</x:v>
      </x:c>
      <x:c r="V67" s="41" t="str">
        <x:f>IF(OR(D67="BAD",D67="BAIT"),"REJECT",IF(U67&gt;='Assumptions'!$B$15,"REJECT",IF(AND(U67&gt;='Assumptions'!$B$14,L67=TRUE),"FALLBACK","ALLOW")))</x:f>
        <x:v>REJECT</x:v>
      </x:c>
    </x:row>
    <x:row r="68">
      <x:c r="A68" s="41" t="n">
        <x:v>10</x:v>
      </x:c>
      <x:c r="B68" s="41" t="str">
        <x:v>route-bait-good-safe</x:v>
      </x:c>
      <x:c r="C68" s="41" t="str">
        <x:v>BAIT</x:v>
      </x:c>
      <x:c r="D68" s="41" t="str">
        <x:v>GOOD</x:v>
      </x:c>
      <x:c r="E68" s="41" t="str">
        <x:v>SAFE</x:v>
      </x:c>
      <x:c r="F68" s="42" t="n">
        <x:v>1</x:v>
      </x:c>
      <x:c r="G68" s="42" t="n">
        <x:v>20</x:v>
      </x:c>
      <x:c r="H68" s="42" t="n">
        <x:v>1000000</x:v>
      </x:c>
      <x:c r="I68" s="42" t="n">
        <x:v>50000</x:v>
      </x:c>
      <x:c r="J68" s="43" t="n">
        <x:v>0.02</x:v>
      </x:c>
      <x:c r="K68" s="41" t="n">
        <x:v>12</x:v>
      </x:c>
      <x:c r="L68" s="44" t="b">
        <x:v>0</x:v>
      </x:c>
      <x:c r="M68" s="42" t="n">
        <x:f>(A68*997*I68)/(H68*1000+A68*997)</x:f>
        <x:v>0.49849503000455087</x:v>
      </x:c>
      <x:c r="N68" s="42" t="n">
        <x:f>(A68*997*(1000000*F68/G68))/(1000000*1000+A68*997)</x:f>
        <x:v>0.49849503000455087</x:v>
      </x:c>
      <x:c r="O68" s="43" t="n">
        <x:f>ABS(M68-N68)/N68</x:f>
        <x:v>0</x:v>
      </x:c>
      <x:c r="P68" s="45" t="n">
        <x:f>IF((A68*I68/H68)&lt;=M68,0,INT((((A68*I68/H68)-M68)*10000)/(A68*I68/H68)))</x:f>
        <x:v>30</x:v>
      </x:c>
      <x:c r="Q68" s="45" t="n">
        <x:f>IF(E68="SAFE",MIN(20,K68+ROUND(P68/10,0)),IF(E68="SHALLOW",MIN(75,K68+ROUND(P68/100,0)),MIN(95,K68)))</x:f>
        <x:v>15</x:v>
      </x:c>
      <x:c r="R68" s="45" t="n">
        <x:f>IF(O68&gt;'Assumptions'!$B$11,MIN(35,ROUND(O68*500,0)),0)</x:f>
        <x:v>0</x:v>
      </x:c>
      <x:c r="S68" s="45" t="n">
        <x:f>IF(J68&gt;'Assumptions'!$B$12,MIN(30,ROUND((J68-'Assumptions'!$B$12)*200,0)),0)</x:f>
        <x:v>0</x:v>
      </x:c>
      <x:c r="T68" s="45" t="n">
        <x:f>IF(Q68&gt;'Assumptions'!$B$13,ROUND(Q68/3,0),0)</x:f>
        <x:v>0</x:v>
      </x:c>
      <x:c r="U68" s="45" t="n">
        <x:f>IF(OR(D68="BAD",D68="BAIT"),100,MIN(100,R68+S68+T68))</x:f>
        <x:v>0</x:v>
      </x:c>
      <x:c r="V68" s="41" t="str">
        <x:f>IF(OR(D68="BAD",D68="BAIT"),"REJECT",IF(U68&gt;='Assumptions'!$B$15,"REJECT",IF(AND(U68&gt;='Assumptions'!$B$14,L68=TRUE),"FALLBACK","ALLOW")))</x:f>
        <x:v>ALLOW</x:v>
      </x:c>
    </x:row>
    <x:row r="69">
      <x:c r="A69" s="41" t="n">
        <x:v>10</x:v>
      </x:c>
      <x:c r="B69" s="41" t="str">
        <x:v>route-bait-good-shallow</x:v>
      </x:c>
      <x:c r="C69" s="41" t="str">
        <x:v>BAIT</x:v>
      </x:c>
      <x:c r="D69" s="41" t="str">
        <x:v>GOOD</x:v>
      </x:c>
      <x:c r="E69" s="41" t="str">
        <x:v>SHALLOW</x:v>
      </x:c>
      <x:c r="F69" s="42" t="n">
        <x:v>1</x:v>
      </x:c>
      <x:c r="G69" s="42" t="n">
        <x:v>20</x:v>
      </x:c>
      <x:c r="H69" s="42" t="n">
        <x:v>500</x:v>
      </x:c>
      <x:c r="I69" s="42" t="n">
        <x:v>25</x:v>
      </x:c>
      <x:c r="J69" s="43" t="n">
        <x:v>0.25</x:v>
      </x:c>
      <x:c r="K69" s="41" t="n">
        <x:v>55</x:v>
      </x:c>
      <x:c r="L69" s="44" t="b">
        <x:v>1</x:v>
      </x:c>
      <x:c r="M69" s="42" t="n">
        <x:f>(A69*997*I69)/(H69*1000+A69*997)</x:f>
        <x:v>0.4887542404455164</x:v>
      </x:c>
      <x:c r="N69" s="42" t="n">
        <x:f>(A69*997*(1000000*F69/G69))/(1000000*1000+A69*997)</x:f>
        <x:v>0.49849503000455087</x:v>
      </x:c>
      <x:c r="O69" s="43" t="n">
        <x:f>ABS(M69-N69)/N69</x:f>
        <x:v>0.019540394533011755</x:v>
      </x:c>
      <x:c r="P69" s="45" t="n">
        <x:f>IF((A69*I69/H69)&lt;=M69,0,INT((((A69*I69/H69)-M69)*10000)/(A69*I69/H69)))</x:f>
        <x:v>224</x:v>
      </x:c>
      <x:c r="Q69" s="45" t="n">
        <x:f>IF(E69="SAFE",MIN(20,K69+ROUND(P69/10,0)),IF(E69="SHALLOW",MIN(75,K69+ROUND(P69/100,0)),MIN(95,K69)))</x:f>
        <x:v>57</x:v>
      </x:c>
      <x:c r="R69" s="45" t="n">
        <x:f>IF(O69&gt;'Assumptions'!$B$11,MIN(35,ROUND(O69*500,0)),0)</x:f>
        <x:v>10</x:v>
      </x:c>
      <x:c r="S69" s="45" t="n">
        <x:f>IF(J69&gt;'Assumptions'!$B$12,MIN(30,ROUND((J69-'Assumptions'!$B$12)*200,0)),0)</x:f>
        <x:v>10</x:v>
      </x:c>
      <x:c r="T69" s="45" t="n">
        <x:f>IF(Q69&gt;'Assumptions'!$B$13,ROUND(Q69/3,0),0)</x:f>
        <x:v>0</x:v>
      </x:c>
      <x:c r="U69" s="45" t="n">
        <x:f>IF(OR(D69="BAD",D69="BAIT"),100,MIN(100,R69+S69+T69))</x:f>
        <x:v>20</x:v>
      </x:c>
      <x:c r="V69" s="41" t="str">
        <x:f>IF(OR(D69="BAD",D69="BAIT"),"REJECT",IF(U69&gt;='Assumptions'!$B$15,"REJECT",IF(AND(U69&gt;='Assumptions'!$B$14,L69=TRUE),"FALLBACK","ALLOW")))</x:f>
        <x:v>ALLOW</x:v>
      </x:c>
    </x:row>
    <x:row r="70">
      <x:c r="A70" s="41" t="n">
        <x:v>10</x:v>
      </x:c>
      <x:c r="B70" s="41" t="str">
        <x:v>route-bait-good-toxic</x:v>
      </x:c>
      <x:c r="C70" s="41" t="str">
        <x:v>BAIT</x:v>
      </x:c>
      <x:c r="D70" s="41" t="str">
        <x:v>GOOD</x:v>
      </x:c>
      <x:c r="E70" s="41" t="str">
        <x:v>TOXIC</x:v>
      </x:c>
      <x:c r="F70" s="42" t="n">
        <x:v>1</x:v>
      </x:c>
      <x:c r="G70" s="42" t="n">
        <x:v>20</x:v>
      </x:c>
      <x:c r="H70" s="42" t="n">
        <x:v>40000</x:v>
      </x:c>
      <x:c r="I70" s="42" t="n">
        <x:v>2500</x:v>
      </x:c>
      <x:c r="J70" s="43" t="n">
        <x:v>0.35</x:v>
      </x:c>
      <x:c r="K70" s="41" t="n">
        <x:v>88</x:v>
      </x:c>
      <x:c r="L70" s="44" t="b">
        <x:v>1</x:v>
      </x:c>
      <x:c r="M70" s="42" t="n">
        <x:f>(A70*997*I70)/(H70*1000+A70*997)</x:f>
        <x:v>0.6229697247960946</x:v>
      </x:c>
      <x:c r="N70" s="42" t="n">
        <x:f>(A70*997*(1000000*F70/G70))/(1000000*1000+A70*997)</x:f>
        <x:v>0.49849503000455087</x:v>
      </x:c>
      <x:c r="O70" s="43" t="n">
        <x:f>ABS(M70-N70)/N70</x:f>
        <x:v>0.24970097453209786</x:v>
      </x:c>
      <x:c r="P70" s="45" t="n">
        <x:f>IF((A70*I70/H70)&lt;=M70,0,INT((((A70*I70/H70)-M70)*10000)/(A70*I70/H70)))</x:f>
        <x:v>32</x:v>
      </x:c>
      <x:c r="Q70" s="45" t="n">
        <x:f>IF(E70="SAFE",MIN(20,K70+ROUND(P70/10,0)),IF(E70="SHALLOW",MIN(75,K70+ROUND(P70/100,0)),MIN(95,K70)))</x:f>
        <x:v>88</x:v>
      </x:c>
      <x:c r="R70" s="45" t="n">
        <x:f>IF(O70&gt;'Assumptions'!$B$11,MIN(35,ROUND(O70*500,0)),0)</x:f>
        <x:v>35</x:v>
      </x:c>
      <x:c r="S70" s="45" t="n">
        <x:f>IF(J70&gt;'Assumptions'!$B$12,MIN(30,ROUND((J70-'Assumptions'!$B$12)*200,0)),0)</x:f>
        <x:v>30</x:v>
      </x:c>
      <x:c r="T70" s="45" t="n">
        <x:f>IF(Q70&gt;'Assumptions'!$B$13,ROUND(Q70/3,0),0)</x:f>
        <x:v>29</x:v>
      </x:c>
      <x:c r="U70" s="45" t="n">
        <x:f>IF(OR(D70="BAD",D70="BAIT"),100,MIN(100,R70+S70+T70))</x:f>
        <x:v>94</x:v>
      </x:c>
      <x:c r="V70" s="41" t="str">
        <x:f>IF(OR(D70="BAD",D70="BAIT"),"REJECT",IF(U70&gt;='Assumptions'!$B$15,"REJECT",IF(AND(U70&gt;='Assumptions'!$B$14,L70=TRUE),"FALLBACK","ALLOW")))</x:f>
        <x:v>REJECT</x:v>
      </x:c>
    </x:row>
    <x:row r="71">
      <x:c r="A71" s="41" t="n">
        <x:v>10</x:v>
      </x:c>
      <x:c r="B71" s="41" t="str">
        <x:v>route-bait-bad-safe</x:v>
      </x:c>
      <x:c r="C71" s="41" t="str">
        <x:v>BAIT</x:v>
      </x:c>
      <x:c r="D71" s="41" t="str">
        <x:v>BAD</x:v>
      </x:c>
      <x:c r="E71" s="41" t="str">
        <x:v>SAFE</x:v>
      </x:c>
      <x:c r="F71" s="42" t="n">
        <x:v>1</x:v>
      </x:c>
      <x:c r="G71" s="42" t="n">
        <x:v>100</x:v>
      </x:c>
      <x:c r="H71" s="42" t="n">
        <x:v>1000000</x:v>
      </x:c>
      <x:c r="I71" s="42" t="n">
        <x:v>10000</x:v>
      </x:c>
      <x:c r="J71" s="43" t="n">
        <x:v>0.02</x:v>
      </x:c>
      <x:c r="K71" s="41" t="n">
        <x:v>12</x:v>
      </x:c>
      <x:c r="L71" s="44" t="b">
        <x:v>0</x:v>
      </x:c>
      <x:c r="M71" s="42" t="n">
        <x:f>(A71*997*I71)/(H71*1000+A71*997)</x:f>
        <x:v>0.09969900600091017</x:v>
      </x:c>
      <x:c r="N71" s="42" t="n">
        <x:f>(A71*997*(1000000*F71/G71))/(1000000*1000+A71*997)</x:f>
        <x:v>0.09969900600091017</x:v>
      </x:c>
      <x:c r="O71" s="43" t="n">
        <x:f>ABS(M71-N71)/N71</x:f>
        <x:v>0</x:v>
      </x:c>
      <x:c r="P71" s="45" t="n">
        <x:f>IF((A71*I71/H71)&lt;=M71,0,INT((((A71*I71/H71)-M71)*10000)/(A71*I71/H71)))</x:f>
        <x:v>30</x:v>
      </x:c>
      <x:c r="Q71" s="45" t="n">
        <x:f>IF(E71="SAFE",MIN(20,K71+ROUND(P71/10,0)),IF(E71="SHALLOW",MIN(75,K71+ROUND(P71/100,0)),MIN(95,K71)))</x:f>
        <x:v>15</x:v>
      </x:c>
      <x:c r="R71" s="45" t="n">
        <x:f>IF(O71&gt;'Assumptions'!$B$11,MIN(35,ROUND(O71*500,0)),0)</x:f>
        <x:v>0</x:v>
      </x:c>
      <x:c r="S71" s="45" t="n">
        <x:f>IF(J71&gt;'Assumptions'!$B$12,MIN(30,ROUND((J71-'Assumptions'!$B$12)*200,0)),0)</x:f>
        <x:v>0</x:v>
      </x:c>
      <x:c r="T71" s="45" t="n">
        <x:f>IF(Q71&gt;'Assumptions'!$B$13,ROUND(Q71/3,0),0)</x:f>
        <x:v>0</x:v>
      </x:c>
      <x:c r="U71" s="45" t="n">
        <x:f>IF(OR(D71="BAD",D71="BAIT"),100,MIN(100,R71+S71+T71))</x:f>
        <x:v>100</x:v>
      </x:c>
      <x:c r="V71" s="41" t="str">
        <x:f>IF(OR(D71="BAD",D71="BAIT"),"REJECT",IF(U71&gt;='Assumptions'!$B$15,"REJECT",IF(AND(U71&gt;='Assumptions'!$B$14,L71=TRUE),"FALLBACK","ALLOW")))</x:f>
        <x:v>REJECT</x:v>
      </x:c>
    </x:row>
    <x:row r="72">
      <x:c r="A72" s="41" t="n">
        <x:v>10</x:v>
      </x:c>
      <x:c r="B72" s="41" t="str">
        <x:v>route-bait-bad-shallow</x:v>
      </x:c>
      <x:c r="C72" s="41" t="str">
        <x:v>BAIT</x:v>
      </x:c>
      <x:c r="D72" s="41" t="str">
        <x:v>BAD</x:v>
      </x:c>
      <x:c r="E72" s="41" t="str">
        <x:v>SHALLOW</x:v>
      </x:c>
      <x:c r="F72" s="42" t="n">
        <x:v>1</x:v>
      </x:c>
      <x:c r="G72" s="42" t="n">
        <x:v>100</x:v>
      </x:c>
      <x:c r="H72" s="42" t="n">
        <x:v>500</x:v>
      </x:c>
      <x:c r="I72" s="42" t="n">
        <x:v>5</x:v>
      </x:c>
      <x:c r="J72" s="43" t="n">
        <x:v>0.25</x:v>
      </x:c>
      <x:c r="K72" s="41" t="n">
        <x:v>55</x:v>
      </x:c>
      <x:c r="L72" s="44" t="b">
        <x:v>1</x:v>
      </x:c>
      <x:c r="M72" s="42" t="n">
        <x:f>(A72*997*I72)/(H72*1000+A72*997)</x:f>
        <x:v>0.09775084808910328</x:v>
      </x:c>
      <x:c r="N72" s="42" t="n">
        <x:f>(A72*997*(1000000*F72/G72))/(1000000*1000+A72*997)</x:f>
        <x:v>0.09969900600091017</x:v>
      </x:c>
      <x:c r="O72" s="43" t="n">
        <x:f>ABS(M72-N72)/N72</x:f>
        <x:v>0.019540394533011703</x:v>
      </x:c>
      <x:c r="P72" s="45" t="n">
        <x:f>IF((A72*I72/H72)&lt;=M72,0,INT((((A72*I72/H72)-M72)*10000)/(A72*I72/H72)))</x:f>
        <x:v>224</x:v>
      </x:c>
      <x:c r="Q72" s="45" t="n">
        <x:f>IF(E72="SAFE",MIN(20,K72+ROUND(P72/10,0)),IF(E72="SHALLOW",MIN(75,K72+ROUND(P72/100,0)),MIN(95,K72)))</x:f>
        <x:v>57</x:v>
      </x:c>
      <x:c r="R72" s="45" t="n">
        <x:f>IF(O72&gt;'Assumptions'!$B$11,MIN(35,ROUND(O72*500,0)),0)</x:f>
        <x:v>10</x:v>
      </x:c>
      <x:c r="S72" s="45" t="n">
        <x:f>IF(J72&gt;'Assumptions'!$B$12,MIN(30,ROUND((J72-'Assumptions'!$B$12)*200,0)),0)</x:f>
        <x:v>10</x:v>
      </x:c>
      <x:c r="T72" s="45" t="n">
        <x:f>IF(Q72&gt;'Assumptions'!$B$13,ROUND(Q72/3,0),0)</x:f>
        <x:v>0</x:v>
      </x:c>
      <x:c r="U72" s="45" t="n">
        <x:f>IF(OR(D72="BAD",D72="BAIT"),100,MIN(100,R72+S72+T72))</x:f>
        <x:v>100</x:v>
      </x:c>
      <x:c r="V72" s="41" t="str">
        <x:f>IF(OR(D72="BAD",D72="BAIT"),"REJECT",IF(U72&gt;='Assumptions'!$B$15,"REJECT",IF(AND(U72&gt;='Assumptions'!$B$14,L72=TRUE),"FALLBACK","ALLOW")))</x:f>
        <x:v>REJECT</x:v>
      </x:c>
    </x:row>
    <x:row r="73">
      <x:c r="A73" s="41" t="n">
        <x:v>10</x:v>
      </x:c>
      <x:c r="B73" s="41" t="str">
        <x:v>route-bait-bad-toxic</x:v>
      </x:c>
      <x:c r="C73" s="41" t="str">
        <x:v>BAIT</x:v>
      </x:c>
      <x:c r="D73" s="41" t="str">
        <x:v>BAD</x:v>
      </x:c>
      <x:c r="E73" s="41" t="str">
        <x:v>TOXIC</x:v>
      </x:c>
      <x:c r="F73" s="42" t="n">
        <x:v>1</x:v>
      </x:c>
      <x:c r="G73" s="42" t="n">
        <x:v>100</x:v>
      </x:c>
      <x:c r="H73" s="42" t="n">
        <x:v>40000</x:v>
      </x:c>
      <x:c r="I73" s="42" t="n">
        <x:v>500</x:v>
      </x:c>
      <x:c r="J73" s="43" t="n">
        <x:v>0.35</x:v>
      </x:c>
      <x:c r="K73" s="41" t="n">
        <x:v>88</x:v>
      </x:c>
      <x:c r="L73" s="44" t="b">
        <x:v>1</x:v>
      </x:c>
      <x:c r="M73" s="42" t="n">
        <x:f>(A73*997*I73)/(H73*1000+A73*997)</x:f>
        <x:v>0.12459394495921891</x:v>
      </x:c>
      <x:c r="N73" s="42" t="n">
        <x:f>(A73*997*(1000000*F73/G73))/(1000000*1000+A73*997)</x:f>
        <x:v>0.09969900600091017</x:v>
      </x:c>
      <x:c r="O73" s="43" t="n">
        <x:f>ABS(M73-N73)/N73</x:f>
        <x:v>0.24970097453209789</x:v>
      </x:c>
      <x:c r="P73" s="45" t="n">
        <x:f>IF((A73*I73/H73)&lt;=M73,0,INT((((A73*I73/H73)-M73)*10000)/(A73*I73/H73)))</x:f>
        <x:v>32</x:v>
      </x:c>
      <x:c r="Q73" s="45" t="n">
        <x:f>IF(E73="SAFE",MIN(20,K73+ROUND(P73/10,0)),IF(E73="SHALLOW",MIN(75,K73+ROUND(P73/100,0)),MIN(95,K73)))</x:f>
        <x:v>88</x:v>
      </x:c>
      <x:c r="R73" s="45" t="n">
        <x:f>IF(O73&gt;'Assumptions'!$B$11,MIN(35,ROUND(O73*500,0)),0)</x:f>
        <x:v>35</x:v>
      </x:c>
      <x:c r="S73" s="45" t="n">
        <x:f>IF(J73&gt;'Assumptions'!$B$12,MIN(30,ROUND((J73-'Assumptions'!$B$12)*200,0)),0)</x:f>
        <x:v>30</x:v>
      </x:c>
      <x:c r="T73" s="45" t="n">
        <x:f>IF(Q73&gt;'Assumptions'!$B$13,ROUND(Q73/3,0),0)</x:f>
        <x:v>29</x:v>
      </x:c>
      <x:c r="U73" s="45" t="n">
        <x:f>IF(OR(D73="BAD",D73="BAIT"),100,MIN(100,R73+S73+T73))</x:f>
        <x:v>100</x:v>
      </x:c>
      <x:c r="V73" s="41" t="str">
        <x:f>IF(OR(D73="BAD",D73="BAIT"),"REJECT",IF(U73&gt;='Assumptions'!$B$15,"REJECT",IF(AND(U73&gt;='Assumptions'!$B$14,L73=TRUE),"FALLBACK","ALLOW")))</x:f>
        <x:v>REJECT</x:v>
      </x:c>
    </x:row>
    <x:row r="74">
      <x:c r="A74" s="41" t="n">
        <x:v>100</x:v>
      </x:c>
      <x:c r="B74" s="41" t="str">
        <x:v>route-usdc-good-safe</x:v>
      </x:c>
      <x:c r="C74" s="41" t="str">
        <x:v>USDC</x:v>
      </x:c>
      <x:c r="D74" s="41" t="str">
        <x:v>GOOD</x:v>
      </x:c>
      <x:c r="E74" s="41" t="str">
        <x:v>SAFE</x:v>
      </x:c>
      <x:c r="F74" s="42" t="n">
        <x:v>1</x:v>
      </x:c>
      <x:c r="G74" s="42" t="n">
        <x:v>20</x:v>
      </x:c>
      <x:c r="H74" s="42" t="n">
        <x:v>1000000</x:v>
      </x:c>
      <x:c r="I74" s="42" t="n">
        <x:v>50000</x:v>
      </x:c>
      <x:c r="J74" s="43" t="n">
        <x:v>0.02</x:v>
      </x:c>
      <x:c r="K74" s="41" t="n">
        <x:v>12</x:v>
      </x:c>
      <x:c r="L74" s="44" t="b">
        <x:v>0</x:v>
      </x:c>
      <x:c r="M74" s="42" t="n">
        <x:f>(A74*997*I74)/(H74*1000+A74*997)</x:f>
        <x:v>4.9845030450464085</x:v>
      </x:c>
      <x:c r="N74" s="42" t="n">
        <x:f>(A74*997*(1000000*F74/G74))/(1000000*1000+A74*997)</x:f>
        <x:v>4.9845030450464085</x:v>
      </x:c>
      <x:c r="O74" s="43" t="n">
        <x:f>ABS(M74-N74)/N74</x:f>
        <x:v>0</x:v>
      </x:c>
      <x:c r="P74" s="45" t="n">
        <x:f>IF((A74*I74/H74)&lt;=M74,0,INT((((A74*I74/H74)-M74)*10000)/(A74*I74/H74)))</x:f>
        <x:v>30</x:v>
      </x:c>
      <x:c r="Q74" s="45" t="n">
        <x:f>IF(E74="SAFE",MIN(20,K74+ROUND(P74/10,0)),IF(E74="SHALLOW",MIN(75,K74+ROUND(P74/100,0)),MIN(95,K74)))</x:f>
        <x:v>15</x:v>
      </x:c>
      <x:c r="R74" s="45" t="n">
        <x:f>IF(O74&gt;'Assumptions'!$B$11,MIN(35,ROUND(O74*500,0)),0)</x:f>
        <x:v>0</x:v>
      </x:c>
      <x:c r="S74" s="45" t="n">
        <x:f>IF(J74&gt;'Assumptions'!$B$12,MIN(30,ROUND((J74-'Assumptions'!$B$12)*200,0)),0)</x:f>
        <x:v>0</x:v>
      </x:c>
      <x:c r="T74" s="45" t="n">
        <x:f>IF(Q74&gt;'Assumptions'!$B$13,ROUND(Q74/3,0),0)</x:f>
        <x:v>0</x:v>
      </x:c>
      <x:c r="U74" s="45" t="n">
        <x:f>IF(OR(D74="BAD",D74="BAIT"),100,MIN(100,R74+S74+T74))</x:f>
        <x:v>0</x:v>
      </x:c>
      <x:c r="V74" s="41" t="str">
        <x:f>IF(OR(D74="BAD",D74="BAIT"),"REJECT",IF(U74&gt;='Assumptions'!$B$15,"REJECT",IF(AND(U74&gt;='Assumptions'!$B$14,L74=TRUE),"FALLBACK","ALLOW")))</x:f>
        <x:v>ALLOW</x:v>
      </x:c>
    </x:row>
    <x:row r="75">
      <x:c r="A75" s="41" t="n">
        <x:v>100</x:v>
      </x:c>
      <x:c r="B75" s="41" t="str">
        <x:v>route-usdc-good-shallow</x:v>
      </x:c>
      <x:c r="C75" s="41" t="str">
        <x:v>USDC</x:v>
      </x:c>
      <x:c r="D75" s="41" t="str">
        <x:v>GOOD</x:v>
      </x:c>
      <x:c r="E75" s="41" t="str">
        <x:v>SHALLOW</x:v>
      </x:c>
      <x:c r="F75" s="42" t="n">
        <x:v>1</x:v>
      </x:c>
      <x:c r="G75" s="42" t="n">
        <x:v>20</x:v>
      </x:c>
      <x:c r="H75" s="42" t="n">
        <x:v>500</x:v>
      </x:c>
      <x:c r="I75" s="42" t="n">
        <x:v>25</x:v>
      </x:c>
      <x:c r="J75" s="43" t="n">
        <x:v>0.25</x:v>
      </x:c>
      <x:c r="K75" s="41" t="n">
        <x:v>55</x:v>
      </x:c>
      <x:c r="L75" s="44" t="b">
        <x:v>1</x:v>
      </x:c>
      <x:c r="M75" s="42" t="n">
        <x:f>(A75*997*I75)/(H75*1000+A75*997)</x:f>
        <x:v>4.156244789061197</x:v>
      </x:c>
      <x:c r="N75" s="42" t="n">
        <x:f>(A75*997*(1000000*F75/G75))/(1000000*1000+A75*997)</x:f>
        <x:v>4.9845030450464085</x:v>
      </x:c>
      <x:c r="O75" s="43" t="n">
        <x:f>ABS(M75-N75)/N75</x:f>
        <x:v>0.16616666666666668</x:v>
      </x:c>
      <x:c r="P75" s="45" t="n">
        <x:f>IF((A75*I75/H75)&lt;=M75,0,INT((((A75*I75/H75)-M75)*10000)/(A75*I75/H75)))</x:f>
        <x:v>1687</x:v>
      </x:c>
      <x:c r="Q75" s="45" t="n">
        <x:f>IF(E75="SAFE",MIN(20,K75+ROUND(P75/10,0)),IF(E75="SHALLOW",MIN(75,K75+ROUND(P75/100,0)),MIN(95,K75)))</x:f>
        <x:v>72</x:v>
      </x:c>
      <x:c r="R75" s="45" t="n">
        <x:f>IF(O75&gt;'Assumptions'!$B$11,MIN(35,ROUND(O75*500,0)),0)</x:f>
        <x:v>35</x:v>
      </x:c>
      <x:c r="S75" s="45" t="n">
        <x:f>IF(J75&gt;'Assumptions'!$B$12,MIN(30,ROUND((J75-'Assumptions'!$B$12)*200,0)),0)</x:f>
        <x:v>10</x:v>
      </x:c>
      <x:c r="T75" s="45" t="n">
        <x:f>IF(Q75&gt;'Assumptions'!$B$13,ROUND(Q75/3,0),0)</x:f>
        <x:v>24</x:v>
      </x:c>
      <x:c r="U75" s="45" t="n">
        <x:f>IF(OR(D75="BAD",D75="BAIT"),100,MIN(100,R75+S75+T75))</x:f>
        <x:v>69</x:v>
      </x:c>
      <x:c r="V75" s="41" t="str">
        <x:f>IF(OR(D75="BAD",D75="BAIT"),"REJECT",IF(U75&gt;='Assumptions'!$B$15,"REJECT",IF(AND(U75&gt;='Assumptions'!$B$14,L75=TRUE),"FALLBACK","ALLOW")))</x:f>
        <x:v>FALLBACK</x:v>
      </x:c>
    </x:row>
    <x:row r="76">
      <x:c r="A76" s="41" t="n">
        <x:v>100</x:v>
      </x:c>
      <x:c r="B76" s="41" t="str">
        <x:v>route-usdc-good-toxic</x:v>
      </x:c>
      <x:c r="C76" s="41" t="str">
        <x:v>USDC</x:v>
      </x:c>
      <x:c r="D76" s="41" t="str">
        <x:v>GOOD</x:v>
      </x:c>
      <x:c r="E76" s="41" t="str">
        <x:v>TOXIC</x:v>
      </x:c>
      <x:c r="F76" s="42" t="n">
        <x:v>1</x:v>
      </x:c>
      <x:c r="G76" s="42" t="n">
        <x:v>20</x:v>
      </x:c>
      <x:c r="H76" s="42" t="n">
        <x:v>40000</x:v>
      </x:c>
      <x:c r="I76" s="42" t="n">
        <x:v>2500</x:v>
      </x:c>
      <x:c r="J76" s="43" t="n">
        <x:v>0.35</x:v>
      </x:c>
      <x:c r="K76" s="41" t="n">
        <x:v>88</x:v>
      </x:c>
      <x:c r="L76" s="44" t="b">
        <x:v>1</x:v>
      </x:c>
      <x:c r="M76" s="42" t="n">
        <x:f>(A76*997*I76)/(H76*1000+A76*997)</x:f>
        <x:v>6.2157572251163975</x:v>
      </x:c>
      <x:c r="N76" s="42" t="n">
        <x:f>(A76*997*(1000000*F76/G76))/(1000000*1000+A76*997)</x:f>
        <x:v>4.9845030450464085</x:v>
      </x:c>
      <x:c r="O76" s="43" t="n">
        <x:f>ABS(M76-N76)/N76</x:f>
        <x:v>0.24701643653194424</x:v>
      </x:c>
      <x:c r="P76" s="45" t="n">
        <x:f>IF((A76*I76/H76)&lt;=M76,0,INT((((A76*I76/H76)-M76)*10000)/(A76*I76/H76)))</x:f>
        <x:v>54</x:v>
      </x:c>
      <x:c r="Q76" s="45" t="n">
        <x:f>IF(E76="SAFE",MIN(20,K76+ROUND(P76/10,0)),IF(E76="SHALLOW",MIN(75,K76+ROUND(P76/100,0)),MIN(95,K76)))</x:f>
        <x:v>88</x:v>
      </x:c>
      <x:c r="R76" s="45" t="n">
        <x:f>IF(O76&gt;'Assumptions'!$B$11,MIN(35,ROUND(O76*500,0)),0)</x:f>
        <x:v>35</x:v>
      </x:c>
      <x:c r="S76" s="45" t="n">
        <x:f>IF(J76&gt;'Assumptions'!$B$12,MIN(30,ROUND((J76-'Assumptions'!$B$12)*200,0)),0)</x:f>
        <x:v>30</x:v>
      </x:c>
      <x:c r="T76" s="45" t="n">
        <x:f>IF(Q76&gt;'Assumptions'!$B$13,ROUND(Q76/3,0),0)</x:f>
        <x:v>29</x:v>
      </x:c>
      <x:c r="U76" s="45" t="n">
        <x:f>IF(OR(D76="BAD",D76="BAIT"),100,MIN(100,R76+S76+T76))</x:f>
        <x:v>94</x:v>
      </x:c>
      <x:c r="V76" s="41" t="str">
        <x:f>IF(OR(D76="BAD",D76="BAIT"),"REJECT",IF(U76&gt;='Assumptions'!$B$15,"REJECT",IF(AND(U76&gt;='Assumptions'!$B$14,L76=TRUE),"FALLBACK","ALLOW")))</x:f>
        <x:v>REJECT</x:v>
      </x:c>
    </x:row>
    <x:row r="77">
      <x:c r="A77" s="41" t="n">
        <x:v>100</x:v>
      </x:c>
      <x:c r="B77" s="41" t="str">
        <x:v>route-usdc-bad-safe</x:v>
      </x:c>
      <x:c r="C77" s="41" t="str">
        <x:v>USDC</x:v>
      </x:c>
      <x:c r="D77" s="41" t="str">
        <x:v>BAD</x:v>
      </x:c>
      <x:c r="E77" s="41" t="str">
        <x:v>SAFE</x:v>
      </x:c>
      <x:c r="F77" s="42" t="n">
        <x:v>1</x:v>
      </x:c>
      <x:c r="G77" s="42" t="n">
        <x:v>100</x:v>
      </x:c>
      <x:c r="H77" s="42" t="n">
        <x:v>1000000</x:v>
      </x:c>
      <x:c r="I77" s="42" t="n">
        <x:v>10000</x:v>
      </x:c>
      <x:c r="J77" s="43" t="n">
        <x:v>0.02</x:v>
      </x:c>
      <x:c r="K77" s="41" t="n">
        <x:v>12</x:v>
      </x:c>
      <x:c r="L77" s="44" t="b">
        <x:v>0</x:v>
      </x:c>
      <x:c r="M77" s="42" t="n">
        <x:f>(A77*997*I77)/(H77*1000+A77*997)</x:f>
        <x:v>0.9969006090092818</x:v>
      </x:c>
      <x:c r="N77" s="42" t="n">
        <x:f>(A77*997*(1000000*F77/G77))/(1000000*1000+A77*997)</x:f>
        <x:v>0.9969006090092818</x:v>
      </x:c>
      <x:c r="O77" s="43" t="n">
        <x:f>ABS(M77-N77)/N77</x:f>
        <x:v>0</x:v>
      </x:c>
      <x:c r="P77" s="45" t="n">
        <x:f>IF((A77*I77/H77)&lt;=M77,0,INT((((A77*I77/H77)-M77)*10000)/(A77*I77/H77)))</x:f>
        <x:v>30</x:v>
      </x:c>
      <x:c r="Q77" s="45" t="n">
        <x:f>IF(E77="SAFE",MIN(20,K77+ROUND(P77/10,0)),IF(E77="SHALLOW",MIN(75,K77+ROUND(P77/100,0)),MIN(95,K77)))</x:f>
        <x:v>15</x:v>
      </x:c>
      <x:c r="R77" s="45" t="n">
        <x:f>IF(O77&gt;'Assumptions'!$B$11,MIN(35,ROUND(O77*500,0)),0)</x:f>
        <x:v>0</x:v>
      </x:c>
      <x:c r="S77" s="45" t="n">
        <x:f>IF(J77&gt;'Assumptions'!$B$12,MIN(30,ROUND((J77-'Assumptions'!$B$12)*200,0)),0)</x:f>
        <x:v>0</x:v>
      </x:c>
      <x:c r="T77" s="45" t="n">
        <x:f>IF(Q77&gt;'Assumptions'!$B$13,ROUND(Q77/3,0),0)</x:f>
        <x:v>0</x:v>
      </x:c>
      <x:c r="U77" s="45" t="n">
        <x:f>IF(OR(D77="BAD",D77="BAIT"),100,MIN(100,R77+S77+T77))</x:f>
        <x:v>100</x:v>
      </x:c>
      <x:c r="V77" s="41" t="str">
        <x:f>IF(OR(D77="BAD",D77="BAIT"),"REJECT",IF(U77&gt;='Assumptions'!$B$15,"REJECT",IF(AND(U77&gt;='Assumptions'!$B$14,L77=TRUE),"FALLBACK","ALLOW")))</x:f>
        <x:v>REJECT</x:v>
      </x:c>
    </x:row>
    <x:row r="78">
      <x:c r="A78" s="41" t="n">
        <x:v>100</x:v>
      </x:c>
      <x:c r="B78" s="41" t="str">
        <x:v>route-usdc-bad-shallow</x:v>
      </x:c>
      <x:c r="C78" s="41" t="str">
        <x:v>USDC</x:v>
      </x:c>
      <x:c r="D78" s="41" t="str">
        <x:v>BAD</x:v>
      </x:c>
      <x:c r="E78" s="41" t="str">
        <x:v>SHALLOW</x:v>
      </x:c>
      <x:c r="F78" s="42" t="n">
        <x:v>1</x:v>
      </x:c>
      <x:c r="G78" s="42" t="n">
        <x:v>100</x:v>
      </x:c>
      <x:c r="H78" s="42" t="n">
        <x:v>500</x:v>
      </x:c>
      <x:c r="I78" s="42" t="n">
        <x:v>5</x:v>
      </x:c>
      <x:c r="J78" s="43" t="n">
        <x:v>0.25</x:v>
      </x:c>
      <x:c r="K78" s="41" t="n">
        <x:v>55</x:v>
      </x:c>
      <x:c r="L78" s="44" t="b">
        <x:v>1</x:v>
      </x:c>
      <x:c r="M78" s="42" t="n">
        <x:f>(A78*997*I78)/(H78*1000+A78*997)</x:f>
        <x:v>0.8312489578122395</x:v>
      </x:c>
      <x:c r="N78" s="42" t="n">
        <x:f>(A78*997*(1000000*F78/G78))/(1000000*1000+A78*997)</x:f>
        <x:v>0.9969006090092818</x:v>
      </x:c>
      <x:c r="O78" s="43" t="n">
        <x:f>ABS(M78-N78)/N78</x:f>
        <x:v>0.16616666666666663</x:v>
      </x:c>
      <x:c r="P78" s="45" t="n">
        <x:f>IF((A78*I78/H78)&lt;=M78,0,INT((((A78*I78/H78)-M78)*10000)/(A78*I78/H78)))</x:f>
        <x:v>1687</x:v>
      </x:c>
      <x:c r="Q78" s="45" t="n">
        <x:f>IF(E78="SAFE",MIN(20,K78+ROUND(P78/10,0)),IF(E78="SHALLOW",MIN(75,K78+ROUND(P78/100,0)),MIN(95,K78)))</x:f>
        <x:v>72</x:v>
      </x:c>
      <x:c r="R78" s="45" t="n">
        <x:f>IF(O78&gt;'Assumptions'!$B$11,MIN(35,ROUND(O78*500,0)),0)</x:f>
        <x:v>35</x:v>
      </x:c>
      <x:c r="S78" s="45" t="n">
        <x:f>IF(J78&gt;'Assumptions'!$B$12,MIN(30,ROUND((J78-'Assumptions'!$B$12)*200,0)),0)</x:f>
        <x:v>10</x:v>
      </x:c>
      <x:c r="T78" s="45" t="n">
        <x:f>IF(Q78&gt;'Assumptions'!$B$13,ROUND(Q78/3,0),0)</x:f>
        <x:v>24</x:v>
      </x:c>
      <x:c r="U78" s="45" t="n">
        <x:f>IF(OR(D78="BAD",D78="BAIT"),100,MIN(100,R78+S78+T78))</x:f>
        <x:v>100</x:v>
      </x:c>
      <x:c r="V78" s="41" t="str">
        <x:f>IF(OR(D78="BAD",D78="BAIT"),"REJECT",IF(U78&gt;='Assumptions'!$B$15,"REJECT",IF(AND(U78&gt;='Assumptions'!$B$14,L78=TRUE),"FALLBACK","ALLOW")))</x:f>
        <x:v>REJECT</x:v>
      </x:c>
    </x:row>
    <x:row r="79">
      <x:c r="A79" s="41" t="n">
        <x:v>100</x:v>
      </x:c>
      <x:c r="B79" s="41" t="str">
        <x:v>route-usdc-bad-toxic</x:v>
      </x:c>
      <x:c r="C79" s="41" t="str">
        <x:v>USDC</x:v>
      </x:c>
      <x:c r="D79" s="41" t="str">
        <x:v>BAD</x:v>
      </x:c>
      <x:c r="E79" s="41" t="str">
        <x:v>TOXIC</x:v>
      </x:c>
      <x:c r="F79" s="42" t="n">
        <x:v>1</x:v>
      </x:c>
      <x:c r="G79" s="42" t="n">
        <x:v>100</x:v>
      </x:c>
      <x:c r="H79" s="42" t="n">
        <x:v>40000</x:v>
      </x:c>
      <x:c r="I79" s="42" t="n">
        <x:v>500</x:v>
      </x:c>
      <x:c r="J79" s="43" t="n">
        <x:v>0.35</x:v>
      </x:c>
      <x:c r="K79" s="41" t="n">
        <x:v>88</x:v>
      </x:c>
      <x:c r="L79" s="44" t="b">
        <x:v>1</x:v>
      </x:c>
      <x:c r="M79" s="42" t="n">
        <x:f>(A79*997*I79)/(H79*1000+A79*997)</x:f>
        <x:v>1.2431514450232795</x:v>
      </x:c>
      <x:c r="N79" s="42" t="n">
        <x:f>(A79*997*(1000000*F79/G79))/(1000000*1000+A79*997)</x:f>
        <x:v>0.9969006090092818</x:v>
      </x:c>
      <x:c r="O79" s="43" t="n">
        <x:f>ABS(M79-N79)/N79</x:f>
        <x:v>0.24701643653194408</x:v>
      </x:c>
      <x:c r="P79" s="45" t="n">
        <x:f>IF((A79*I79/H79)&lt;=M79,0,INT((((A79*I79/H79)-M79)*10000)/(A79*I79/H79)))</x:f>
        <x:v>54</x:v>
      </x:c>
      <x:c r="Q79" s="45" t="n">
        <x:f>IF(E79="SAFE",MIN(20,K79+ROUND(P79/10,0)),IF(E79="SHALLOW",MIN(75,K79+ROUND(P79/100,0)),MIN(95,K79)))</x:f>
        <x:v>88</x:v>
      </x:c>
      <x:c r="R79" s="45" t="n">
        <x:f>IF(O79&gt;'Assumptions'!$B$11,MIN(35,ROUND(O79*500,0)),0)</x:f>
        <x:v>35</x:v>
      </x:c>
      <x:c r="S79" s="45" t="n">
        <x:f>IF(J79&gt;'Assumptions'!$B$12,MIN(30,ROUND((J79-'Assumptions'!$B$12)*200,0)),0)</x:f>
        <x:v>30</x:v>
      </x:c>
      <x:c r="T79" s="45" t="n">
        <x:f>IF(Q79&gt;'Assumptions'!$B$13,ROUND(Q79/3,0),0)</x:f>
        <x:v>29</x:v>
      </x:c>
      <x:c r="U79" s="45" t="n">
        <x:f>IF(OR(D79="BAD",D79="BAIT"),100,MIN(100,R79+S79+T79))</x:f>
        <x:v>100</x:v>
      </x:c>
      <x:c r="V79" s="41" t="str">
        <x:f>IF(OR(D79="BAD",D79="BAIT"),"REJECT",IF(U79&gt;='Assumptions'!$B$15,"REJECT",IF(AND(U79&gt;='Assumptions'!$B$14,L79=TRUE),"FALLBACK","ALLOW")))</x:f>
        <x:v>REJECT</x:v>
      </x:c>
    </x:row>
    <x:row r="80">
      <x:c r="A80" s="41" t="n">
        <x:v>100</x:v>
      </x:c>
      <x:c r="B80" s="41" t="str">
        <x:v>route-usdc-bait-safe</x:v>
      </x:c>
      <x:c r="C80" s="41" t="str">
        <x:v>USDC</x:v>
      </x:c>
      <x:c r="D80" s="41" t="str">
        <x:v>BAIT</x:v>
      </x:c>
      <x:c r="E80" s="41" t="str">
        <x:v>SAFE</x:v>
      </x:c>
      <x:c r="F80" s="42" t="n">
        <x:v>1</x:v>
      </x:c>
      <x:c r="G80" s="42" t="n">
        <x:v>1</x:v>
      </x:c>
      <x:c r="H80" s="42" t="n">
        <x:v>1000000</x:v>
      </x:c>
      <x:c r="I80" s="42" t="n">
        <x:v>1000000</x:v>
      </x:c>
      <x:c r="J80" s="43" t="n">
        <x:v>0.02</x:v>
      </x:c>
      <x:c r="K80" s="41" t="n">
        <x:v>12</x:v>
      </x:c>
      <x:c r="L80" s="44" t="b">
        <x:v>0</x:v>
      </x:c>
      <x:c r="M80" s="42" t="n">
        <x:f>(A80*997*I80)/(H80*1000+A80*997)</x:f>
        <x:v>99.69006090092817</x:v>
      </x:c>
      <x:c r="N80" s="42" t="n">
        <x:f>(A80*997*(1000000*F80/G80))/(1000000*1000+A80*997)</x:f>
        <x:v>99.69006090092817</x:v>
      </x:c>
      <x:c r="O80" s="43" t="n">
        <x:f>ABS(M80-N80)/N80</x:f>
        <x:v>0</x:v>
      </x:c>
      <x:c r="P80" s="45" t="n">
        <x:f>IF((A80*I80/H80)&lt;=M80,0,INT((((A80*I80/H80)-M80)*10000)/(A80*I80/H80)))</x:f>
        <x:v>30</x:v>
      </x:c>
      <x:c r="Q80" s="45" t="n">
        <x:f>IF(E80="SAFE",MIN(20,K80+ROUND(P80/10,0)),IF(E80="SHALLOW",MIN(75,K80+ROUND(P80/100,0)),MIN(95,K80)))</x:f>
        <x:v>15</x:v>
      </x:c>
      <x:c r="R80" s="45" t="n">
        <x:f>IF(O80&gt;'Assumptions'!$B$11,MIN(35,ROUND(O80*500,0)),0)</x:f>
        <x:v>0</x:v>
      </x:c>
      <x:c r="S80" s="45" t="n">
        <x:f>IF(J80&gt;'Assumptions'!$B$12,MIN(30,ROUND((J80-'Assumptions'!$B$12)*200,0)),0)</x:f>
        <x:v>0</x:v>
      </x:c>
      <x:c r="T80" s="45" t="n">
        <x:f>IF(Q80&gt;'Assumptions'!$B$13,ROUND(Q80/3,0),0)</x:f>
        <x:v>0</x:v>
      </x:c>
      <x:c r="U80" s="45" t="n">
        <x:f>IF(OR(D80="BAD",D80="BAIT"),100,MIN(100,R80+S80+T80))</x:f>
        <x:v>100</x:v>
      </x:c>
      <x:c r="V80" s="41" t="str">
        <x:f>IF(OR(D80="BAD",D80="BAIT"),"REJECT",IF(U80&gt;='Assumptions'!$B$15,"REJECT",IF(AND(U80&gt;='Assumptions'!$B$14,L80=TRUE),"FALLBACK","ALLOW")))</x:f>
        <x:v>REJECT</x:v>
      </x:c>
    </x:row>
    <x:row r="81">
      <x:c r="A81" s="41" t="n">
        <x:v>100</x:v>
      </x:c>
      <x:c r="B81" s="41" t="str">
        <x:v>route-usdc-bait-shallow</x:v>
      </x:c>
      <x:c r="C81" s="41" t="str">
        <x:v>USDC</x:v>
      </x:c>
      <x:c r="D81" s="41" t="str">
        <x:v>BAIT</x:v>
      </x:c>
      <x:c r="E81" s="41" t="str">
        <x:v>SHALLOW</x:v>
      </x:c>
      <x:c r="F81" s="42" t="n">
        <x:v>1</x:v>
      </x:c>
      <x:c r="G81" s="42" t="n">
        <x:v>1</x:v>
      </x:c>
      <x:c r="H81" s="42" t="n">
        <x:v>500</x:v>
      </x:c>
      <x:c r="I81" s="42" t="n">
        <x:v>500</x:v>
      </x:c>
      <x:c r="J81" s="43" t="n">
        <x:v>0.25</x:v>
      </x:c>
      <x:c r="K81" s="41" t="n">
        <x:v>55</x:v>
      </x:c>
      <x:c r="L81" s="44" t="b">
        <x:v>1</x:v>
      </x:c>
      <x:c r="M81" s="42" t="n">
        <x:f>(A81*997*I81)/(H81*1000+A81*997)</x:f>
        <x:v>83.12489578122394</x:v>
      </x:c>
      <x:c r="N81" s="42" t="n">
        <x:f>(A81*997*(1000000*F81/G81))/(1000000*1000+A81*997)</x:f>
        <x:v>99.69006090092817</x:v>
      </x:c>
      <x:c r="O81" s="43" t="n">
        <x:f>ABS(M81-N81)/N81</x:f>
        <x:v>0.16616666666666668</x:v>
      </x:c>
      <x:c r="P81" s="45" t="n">
        <x:f>IF((A81*I81/H81)&lt;=M81,0,INT((((A81*I81/H81)-M81)*10000)/(A81*I81/H81)))</x:f>
        <x:v>1687</x:v>
      </x:c>
      <x:c r="Q81" s="45" t="n">
        <x:f>IF(E81="SAFE",MIN(20,K81+ROUND(P81/10,0)),IF(E81="SHALLOW",MIN(75,K81+ROUND(P81/100,0)),MIN(95,K81)))</x:f>
        <x:v>72</x:v>
      </x:c>
      <x:c r="R81" s="45" t="n">
        <x:f>IF(O81&gt;'Assumptions'!$B$11,MIN(35,ROUND(O81*500,0)),0)</x:f>
        <x:v>35</x:v>
      </x:c>
      <x:c r="S81" s="45" t="n">
        <x:f>IF(J81&gt;'Assumptions'!$B$12,MIN(30,ROUND((J81-'Assumptions'!$B$12)*200,0)),0)</x:f>
        <x:v>10</x:v>
      </x:c>
      <x:c r="T81" s="45" t="n">
        <x:f>IF(Q81&gt;'Assumptions'!$B$13,ROUND(Q81/3,0),0)</x:f>
        <x:v>24</x:v>
      </x:c>
      <x:c r="U81" s="45" t="n">
        <x:f>IF(OR(D81="BAD",D81="BAIT"),100,MIN(100,R81+S81+T81))</x:f>
        <x:v>100</x:v>
      </x:c>
      <x:c r="V81" s="41" t="str">
        <x:f>IF(OR(D81="BAD",D81="BAIT"),"REJECT",IF(U81&gt;='Assumptions'!$B$15,"REJECT",IF(AND(U81&gt;='Assumptions'!$B$14,L81=TRUE),"FALLBACK","ALLOW")))</x:f>
        <x:v>REJECT</x:v>
      </x:c>
    </x:row>
    <x:row r="82">
      <x:c r="A82" s="41" t="n">
        <x:v>100</x:v>
      </x:c>
      <x:c r="B82" s="41" t="str">
        <x:v>route-usdc-bait-toxic</x:v>
      </x:c>
      <x:c r="C82" s="41" t="str">
        <x:v>USDC</x:v>
      </x:c>
      <x:c r="D82" s="41" t="str">
        <x:v>BAIT</x:v>
      </x:c>
      <x:c r="E82" s="41" t="str">
        <x:v>TOXIC</x:v>
      </x:c>
      <x:c r="F82" s="42" t="n">
        <x:v>1</x:v>
      </x:c>
      <x:c r="G82" s="42" t="n">
        <x:v>1</x:v>
      </x:c>
      <x:c r="H82" s="42" t="n">
        <x:v>40000</x:v>
      </x:c>
      <x:c r="I82" s="42" t="n">
        <x:v>50000</x:v>
      </x:c>
      <x:c r="J82" s="43" t="n">
        <x:v>0.35</x:v>
      </x:c>
      <x:c r="K82" s="41" t="n">
        <x:v>88</x:v>
      </x:c>
      <x:c r="L82" s="44" t="b">
        <x:v>1</x:v>
      </x:c>
      <x:c r="M82" s="42" t="n">
        <x:f>(A82*997*I82)/(H82*1000+A82*997)</x:f>
        <x:v>124.31514450232795</x:v>
      </x:c>
      <x:c r="N82" s="42" t="n">
        <x:f>(A82*997*(1000000*F82/G82))/(1000000*1000+A82*997)</x:f>
        <x:v>99.69006090092817</x:v>
      </x:c>
      <x:c r="O82" s="43" t="n">
        <x:f>ABS(M82-N82)/N82</x:f>
        <x:v>0.24701643653194424</x:v>
      </x:c>
      <x:c r="P82" s="45" t="n">
        <x:f>IF((A82*I82/H82)&lt;=M82,0,INT((((A82*I82/H82)-M82)*10000)/(A82*I82/H82)))</x:f>
        <x:v>54</x:v>
      </x:c>
      <x:c r="Q82" s="45" t="n">
        <x:f>IF(E82="SAFE",MIN(20,K82+ROUND(P82/10,0)),IF(E82="SHALLOW",MIN(75,K82+ROUND(P82/100,0)),MIN(95,K82)))</x:f>
        <x:v>88</x:v>
      </x:c>
      <x:c r="R82" s="45" t="n">
        <x:f>IF(O82&gt;'Assumptions'!$B$11,MIN(35,ROUND(O82*500,0)),0)</x:f>
        <x:v>35</x:v>
      </x:c>
      <x:c r="S82" s="45" t="n">
        <x:f>IF(J82&gt;'Assumptions'!$B$12,MIN(30,ROUND((J82-'Assumptions'!$B$12)*200,0)),0)</x:f>
        <x:v>30</x:v>
      </x:c>
      <x:c r="T82" s="45" t="n">
        <x:f>IF(Q82&gt;'Assumptions'!$B$13,ROUND(Q82/3,0),0)</x:f>
        <x:v>29</x:v>
      </x:c>
      <x:c r="U82" s="45" t="n">
        <x:f>IF(OR(D82="BAD",D82="BAIT"),100,MIN(100,R82+S82+T82))</x:f>
        <x:v>100</x:v>
      </x:c>
      <x:c r="V82" s="41" t="str">
        <x:f>IF(OR(D82="BAD",D82="BAIT"),"REJECT",IF(U82&gt;='Assumptions'!$B$15,"REJECT",IF(AND(U82&gt;='Assumptions'!$B$14,L82=TRUE),"FALLBACK","ALLOW")))</x:f>
        <x:v>REJECT</x:v>
      </x:c>
    </x:row>
    <x:row r="83">
      <x:c r="A83" s="41" t="n">
        <x:v>100</x:v>
      </x:c>
      <x:c r="B83" s="41" t="str">
        <x:v>route-good-usdc-safe</x:v>
      </x:c>
      <x:c r="C83" s="41" t="str">
        <x:v>GOOD</x:v>
      </x:c>
      <x:c r="D83" s="41" t="str">
        <x:v>USDC</x:v>
      </x:c>
      <x:c r="E83" s="41" t="str">
        <x:v>SAFE</x:v>
      </x:c>
      <x:c r="F83" s="42" t="n">
        <x:v>20</x:v>
      </x:c>
      <x:c r="G83" s="42" t="n">
        <x:v>1</x:v>
      </x:c>
      <x:c r="H83" s="42" t="n">
        <x:v>1000000</x:v>
      </x:c>
      <x:c r="I83" s="42" t="n">
        <x:v>20000000</x:v>
      </x:c>
      <x:c r="J83" s="43" t="n">
        <x:v>0.02</x:v>
      </x:c>
      <x:c r="K83" s="41" t="n">
        <x:v>12</x:v>
      </x:c>
      <x:c r="L83" s="44" t="b">
        <x:v>0</x:v>
      </x:c>
      <x:c r="M83" s="42" t="n">
        <x:f>(A83*997*I83)/(H83*1000+A83*997)</x:f>
        <x:v>1993.8012180185635</x:v>
      </x:c>
      <x:c r="N83" s="42" t="n">
        <x:f>(A83*997*(1000000*F83/G83))/(1000000*1000+A83*997)</x:f>
        <x:v>1993.8012180185635</x:v>
      </x:c>
      <x:c r="O83" s="43" t="n">
        <x:f>ABS(M83-N83)/N83</x:f>
        <x:v>0</x:v>
      </x:c>
      <x:c r="P83" s="45" t="n">
        <x:f>IF((A83*I83/H83)&lt;=M83,0,INT((((A83*I83/H83)-M83)*10000)/(A83*I83/H83)))</x:f>
        <x:v>30</x:v>
      </x:c>
      <x:c r="Q83" s="45" t="n">
        <x:f>IF(E83="SAFE",MIN(20,K83+ROUND(P83/10,0)),IF(E83="SHALLOW",MIN(75,K83+ROUND(P83/100,0)),MIN(95,K83)))</x:f>
        <x:v>15</x:v>
      </x:c>
      <x:c r="R83" s="45" t="n">
        <x:f>IF(O83&gt;'Assumptions'!$B$11,MIN(35,ROUND(O83*500,0)),0)</x:f>
        <x:v>0</x:v>
      </x:c>
      <x:c r="S83" s="45" t="n">
        <x:f>IF(J83&gt;'Assumptions'!$B$12,MIN(30,ROUND((J83-'Assumptions'!$B$12)*200,0)),0)</x:f>
        <x:v>0</x:v>
      </x:c>
      <x:c r="T83" s="45" t="n">
        <x:f>IF(Q83&gt;'Assumptions'!$B$13,ROUND(Q83/3,0),0)</x:f>
        <x:v>0</x:v>
      </x:c>
      <x:c r="U83" s="45" t="n">
        <x:f>IF(OR(D83="BAD",D83="BAIT"),100,MIN(100,R83+S83+T83))</x:f>
        <x:v>0</x:v>
      </x:c>
      <x:c r="V83" s="41" t="str">
        <x:f>IF(OR(D83="BAD",D83="BAIT"),"REJECT",IF(U83&gt;='Assumptions'!$B$15,"REJECT",IF(AND(U83&gt;='Assumptions'!$B$14,L83=TRUE),"FALLBACK","ALLOW")))</x:f>
        <x:v>ALLOW</x:v>
      </x:c>
    </x:row>
    <x:row r="84">
      <x:c r="A84" s="41" t="n">
        <x:v>100</x:v>
      </x:c>
      <x:c r="B84" s="41" t="str">
        <x:v>route-good-usdc-shallow</x:v>
      </x:c>
      <x:c r="C84" s="41" t="str">
        <x:v>GOOD</x:v>
      </x:c>
      <x:c r="D84" s="41" t="str">
        <x:v>USDC</x:v>
      </x:c>
      <x:c r="E84" s="41" t="str">
        <x:v>SHALLOW</x:v>
      </x:c>
      <x:c r="F84" s="42" t="n">
        <x:v>20</x:v>
      </x:c>
      <x:c r="G84" s="42" t="n">
        <x:v>1</x:v>
      </x:c>
      <x:c r="H84" s="42" t="n">
        <x:v>500</x:v>
      </x:c>
      <x:c r="I84" s="42" t="n">
        <x:v>10000</x:v>
      </x:c>
      <x:c r="J84" s="43" t="n">
        <x:v>0.25</x:v>
      </x:c>
      <x:c r="K84" s="41" t="n">
        <x:v>55</x:v>
      </x:c>
      <x:c r="L84" s="44" t="b">
        <x:v>1</x:v>
      </x:c>
      <x:c r="M84" s="42" t="n">
        <x:f>(A84*997*I84)/(H84*1000+A84*997)</x:f>
        <x:v>1662.497915624479</x:v>
      </x:c>
      <x:c r="N84" s="42" t="n">
        <x:f>(A84*997*(1000000*F84/G84))/(1000000*1000+A84*997)</x:f>
        <x:v>1993.8012180185635</x:v>
      </x:c>
      <x:c r="O84" s="43" t="n">
        <x:f>ABS(M84-N84)/N84</x:f>
        <x:v>0.16616666666666663</x:v>
      </x:c>
      <x:c r="P84" s="45" t="n">
        <x:f>IF((A84*I84/H84)&lt;=M84,0,INT((((A84*I84/H84)-M84)*10000)/(A84*I84/H84)))</x:f>
        <x:v>1687</x:v>
      </x:c>
      <x:c r="Q84" s="45" t="n">
        <x:f>IF(E84="SAFE",MIN(20,K84+ROUND(P84/10,0)),IF(E84="SHALLOW",MIN(75,K84+ROUND(P84/100,0)),MIN(95,K84)))</x:f>
        <x:v>72</x:v>
      </x:c>
      <x:c r="R84" s="45" t="n">
        <x:f>IF(O84&gt;'Assumptions'!$B$11,MIN(35,ROUND(O84*500,0)),0)</x:f>
        <x:v>35</x:v>
      </x:c>
      <x:c r="S84" s="45" t="n">
        <x:f>IF(J84&gt;'Assumptions'!$B$12,MIN(30,ROUND((J84-'Assumptions'!$B$12)*200,0)),0)</x:f>
        <x:v>10</x:v>
      </x:c>
      <x:c r="T84" s="45" t="n">
        <x:f>IF(Q84&gt;'Assumptions'!$B$13,ROUND(Q84/3,0),0)</x:f>
        <x:v>24</x:v>
      </x:c>
      <x:c r="U84" s="45" t="n">
        <x:f>IF(OR(D84="BAD",D84="BAIT"),100,MIN(100,R84+S84+T84))</x:f>
        <x:v>69</x:v>
      </x:c>
      <x:c r="V84" s="41" t="str">
        <x:f>IF(OR(D84="BAD",D84="BAIT"),"REJECT",IF(U84&gt;='Assumptions'!$B$15,"REJECT",IF(AND(U84&gt;='Assumptions'!$B$14,L84=TRUE),"FALLBACK","ALLOW")))</x:f>
        <x:v>FALLBACK</x:v>
      </x:c>
    </x:row>
    <x:row r="85">
      <x:c r="A85" s="41" t="n">
        <x:v>100</x:v>
      </x:c>
      <x:c r="B85" s="41" t="str">
        <x:v>route-good-usdc-toxic</x:v>
      </x:c>
      <x:c r="C85" s="41" t="str">
        <x:v>GOOD</x:v>
      </x:c>
      <x:c r="D85" s="41" t="str">
        <x:v>USDC</x:v>
      </x:c>
      <x:c r="E85" s="41" t="str">
        <x:v>TOXIC</x:v>
      </x:c>
      <x:c r="F85" s="42" t="n">
        <x:v>20</x:v>
      </x:c>
      <x:c r="G85" s="42" t="n">
        <x:v>1</x:v>
      </x:c>
      <x:c r="H85" s="42" t="n">
        <x:v>40000</x:v>
      </x:c>
      <x:c r="I85" s="42" t="n">
        <x:v>1000000</x:v>
      </x:c>
      <x:c r="J85" s="43" t="n">
        <x:v>0.35</x:v>
      </x:c>
      <x:c r="K85" s="41" t="n">
        <x:v>88</x:v>
      </x:c>
      <x:c r="L85" s="44" t="b">
        <x:v>1</x:v>
      </x:c>
      <x:c r="M85" s="42" t="n">
        <x:f>(A85*997*I85)/(H85*1000+A85*997)</x:f>
        <x:v>2486.302890046559</x:v>
      </x:c>
      <x:c r="N85" s="42" t="n">
        <x:f>(A85*997*(1000000*F85/G85))/(1000000*1000+A85*997)</x:f>
        <x:v>1993.8012180185635</x:v>
      </x:c>
      <x:c r="O85" s="43" t="n">
        <x:f>ABS(M85-N85)/N85</x:f>
        <x:v>0.24701643653194405</x:v>
      </x:c>
      <x:c r="P85" s="45" t="n">
        <x:f>IF((A85*I85/H85)&lt;=M85,0,INT((((A85*I85/H85)-M85)*10000)/(A85*I85/H85)))</x:f>
        <x:v>54</x:v>
      </x:c>
      <x:c r="Q85" s="45" t="n">
        <x:f>IF(E85="SAFE",MIN(20,K85+ROUND(P85/10,0)),IF(E85="SHALLOW",MIN(75,K85+ROUND(P85/100,0)),MIN(95,K85)))</x:f>
        <x:v>88</x:v>
      </x:c>
      <x:c r="R85" s="45" t="n">
        <x:f>IF(O85&gt;'Assumptions'!$B$11,MIN(35,ROUND(O85*500,0)),0)</x:f>
        <x:v>35</x:v>
      </x:c>
      <x:c r="S85" s="45" t="n">
        <x:f>IF(J85&gt;'Assumptions'!$B$12,MIN(30,ROUND((J85-'Assumptions'!$B$12)*200,0)),0)</x:f>
        <x:v>30</x:v>
      </x:c>
      <x:c r="T85" s="45" t="n">
        <x:f>IF(Q85&gt;'Assumptions'!$B$13,ROUND(Q85/3,0),0)</x:f>
        <x:v>29</x:v>
      </x:c>
      <x:c r="U85" s="45" t="n">
        <x:f>IF(OR(D85="BAD",D85="BAIT"),100,MIN(100,R85+S85+T85))</x:f>
        <x:v>94</x:v>
      </x:c>
      <x:c r="V85" s="41" t="str">
        <x:f>IF(OR(D85="BAD",D85="BAIT"),"REJECT",IF(U85&gt;='Assumptions'!$B$15,"REJECT",IF(AND(U85&gt;='Assumptions'!$B$14,L85=TRUE),"FALLBACK","ALLOW")))</x:f>
        <x:v>REJECT</x:v>
      </x:c>
    </x:row>
    <x:row r="86">
      <x:c r="A86" s="41" t="n">
        <x:v>100</x:v>
      </x:c>
      <x:c r="B86" s="41" t="str">
        <x:v>route-good-bad-safe</x:v>
      </x:c>
      <x:c r="C86" s="41" t="str">
        <x:v>GOOD</x:v>
      </x:c>
      <x:c r="D86" s="41" t="str">
        <x:v>BAD</x:v>
      </x:c>
      <x:c r="E86" s="41" t="str">
        <x:v>SAFE</x:v>
      </x:c>
      <x:c r="F86" s="42" t="n">
        <x:v>20</x:v>
      </x:c>
      <x:c r="G86" s="42" t="n">
        <x:v>100</x:v>
      </x:c>
      <x:c r="H86" s="42" t="n">
        <x:v>1000000</x:v>
      </x:c>
      <x:c r="I86" s="42" t="n">
        <x:v>200000</x:v>
      </x:c>
      <x:c r="J86" s="43" t="n">
        <x:v>0.02</x:v>
      </x:c>
      <x:c r="K86" s="41" t="n">
        <x:v>12</x:v>
      </x:c>
      <x:c r="L86" s="44" t="b">
        <x:v>0</x:v>
      </x:c>
      <x:c r="M86" s="42" t="n">
        <x:f>(A86*997*I86)/(H86*1000+A86*997)</x:f>
        <x:v>19.938012180185634</x:v>
      </x:c>
      <x:c r="N86" s="42" t="n">
        <x:f>(A86*997*(1000000*F86/G86))/(1000000*1000+A86*997)</x:f>
        <x:v>19.938012180185634</x:v>
      </x:c>
      <x:c r="O86" s="43" t="n">
        <x:f>ABS(M86-N86)/N86</x:f>
        <x:v>0</x:v>
      </x:c>
      <x:c r="P86" s="45" t="n">
        <x:f>IF((A86*I86/H86)&lt;=M86,0,INT((((A86*I86/H86)-M86)*10000)/(A86*I86/H86)))</x:f>
        <x:v>30</x:v>
      </x:c>
      <x:c r="Q86" s="45" t="n">
        <x:f>IF(E86="SAFE",MIN(20,K86+ROUND(P86/10,0)),IF(E86="SHALLOW",MIN(75,K86+ROUND(P86/100,0)),MIN(95,K86)))</x:f>
        <x:v>15</x:v>
      </x:c>
      <x:c r="R86" s="45" t="n">
        <x:f>IF(O86&gt;'Assumptions'!$B$11,MIN(35,ROUND(O86*500,0)),0)</x:f>
        <x:v>0</x:v>
      </x:c>
      <x:c r="S86" s="45" t="n">
        <x:f>IF(J86&gt;'Assumptions'!$B$12,MIN(30,ROUND((J86-'Assumptions'!$B$12)*200,0)),0)</x:f>
        <x:v>0</x:v>
      </x:c>
      <x:c r="T86" s="45" t="n">
        <x:f>IF(Q86&gt;'Assumptions'!$B$13,ROUND(Q86/3,0),0)</x:f>
        <x:v>0</x:v>
      </x:c>
      <x:c r="U86" s="45" t="n">
        <x:f>IF(OR(D86="BAD",D86="BAIT"),100,MIN(100,R86+S86+T86))</x:f>
        <x:v>100</x:v>
      </x:c>
      <x:c r="V86" s="41" t="str">
        <x:f>IF(OR(D86="BAD",D86="BAIT"),"REJECT",IF(U86&gt;='Assumptions'!$B$15,"REJECT",IF(AND(U86&gt;='Assumptions'!$B$14,L86=TRUE),"FALLBACK","ALLOW")))</x:f>
        <x:v>REJECT</x:v>
      </x:c>
    </x:row>
    <x:row r="87">
      <x:c r="A87" s="41" t="n">
        <x:v>100</x:v>
      </x:c>
      <x:c r="B87" s="41" t="str">
        <x:v>route-good-bad-shallow</x:v>
      </x:c>
      <x:c r="C87" s="41" t="str">
        <x:v>GOOD</x:v>
      </x:c>
      <x:c r="D87" s="41" t="str">
        <x:v>BAD</x:v>
      </x:c>
      <x:c r="E87" s="41" t="str">
        <x:v>SHALLOW</x:v>
      </x:c>
      <x:c r="F87" s="42" t="n">
        <x:v>20</x:v>
      </x:c>
      <x:c r="G87" s="42" t="n">
        <x:v>100</x:v>
      </x:c>
      <x:c r="H87" s="42" t="n">
        <x:v>500</x:v>
      </x:c>
      <x:c r="I87" s="42" t="n">
        <x:v>100</x:v>
      </x:c>
      <x:c r="J87" s="43" t="n">
        <x:v>0.25</x:v>
      </x:c>
      <x:c r="K87" s="41" t="n">
        <x:v>55</x:v>
      </x:c>
      <x:c r="L87" s="44" t="b">
        <x:v>1</x:v>
      </x:c>
      <x:c r="M87" s="42" t="n">
        <x:f>(A87*997*I87)/(H87*1000+A87*997)</x:f>
        <x:v>16.624979156244788</x:v>
      </x:c>
      <x:c r="N87" s="42" t="n">
        <x:f>(A87*997*(1000000*F87/G87))/(1000000*1000+A87*997)</x:f>
        <x:v>19.938012180185634</x:v>
      </x:c>
      <x:c r="O87" s="43" t="n">
        <x:f>ABS(M87-N87)/N87</x:f>
        <x:v>0.16616666666666668</x:v>
      </x:c>
      <x:c r="P87" s="45" t="n">
        <x:f>IF((A87*I87/H87)&lt;=M87,0,INT((((A87*I87/H87)-M87)*10000)/(A87*I87/H87)))</x:f>
        <x:v>1687</x:v>
      </x:c>
      <x:c r="Q87" s="45" t="n">
        <x:f>IF(E87="SAFE",MIN(20,K87+ROUND(P87/10,0)),IF(E87="SHALLOW",MIN(75,K87+ROUND(P87/100,0)),MIN(95,K87)))</x:f>
        <x:v>72</x:v>
      </x:c>
      <x:c r="R87" s="45" t="n">
        <x:f>IF(O87&gt;'Assumptions'!$B$11,MIN(35,ROUND(O87*500,0)),0)</x:f>
        <x:v>35</x:v>
      </x:c>
      <x:c r="S87" s="45" t="n">
        <x:f>IF(J87&gt;'Assumptions'!$B$12,MIN(30,ROUND((J87-'Assumptions'!$B$12)*200,0)),0)</x:f>
        <x:v>10</x:v>
      </x:c>
      <x:c r="T87" s="45" t="n">
        <x:f>IF(Q87&gt;'Assumptions'!$B$13,ROUND(Q87/3,0),0)</x:f>
        <x:v>24</x:v>
      </x:c>
      <x:c r="U87" s="45" t="n">
        <x:f>IF(OR(D87="BAD",D87="BAIT"),100,MIN(100,R87+S87+T87))</x:f>
        <x:v>100</x:v>
      </x:c>
      <x:c r="V87" s="41" t="str">
        <x:f>IF(OR(D87="BAD",D87="BAIT"),"REJECT",IF(U87&gt;='Assumptions'!$B$15,"REJECT",IF(AND(U87&gt;='Assumptions'!$B$14,L87=TRUE),"FALLBACK","ALLOW")))</x:f>
        <x:v>REJECT</x:v>
      </x:c>
    </x:row>
    <x:row r="88">
      <x:c r="A88" s="41" t="n">
        <x:v>100</x:v>
      </x:c>
      <x:c r="B88" s="41" t="str">
        <x:v>route-good-bad-toxic</x:v>
      </x:c>
      <x:c r="C88" s="41" t="str">
        <x:v>GOOD</x:v>
      </x:c>
      <x:c r="D88" s="41" t="str">
        <x:v>BAD</x:v>
      </x:c>
      <x:c r="E88" s="41" t="str">
        <x:v>TOXIC</x:v>
      </x:c>
      <x:c r="F88" s="42" t="n">
        <x:v>20</x:v>
      </x:c>
      <x:c r="G88" s="42" t="n">
        <x:v>100</x:v>
      </x:c>
      <x:c r="H88" s="42" t="n">
        <x:v>40000</x:v>
      </x:c>
      <x:c r="I88" s="42" t="n">
        <x:v>10000</x:v>
      </x:c>
      <x:c r="J88" s="43" t="n">
        <x:v>0.35</x:v>
      </x:c>
      <x:c r="K88" s="41" t="n">
        <x:v>88</x:v>
      </x:c>
      <x:c r="L88" s="44" t="b">
        <x:v>1</x:v>
      </x:c>
      <x:c r="M88" s="42" t="n">
        <x:f>(A88*997*I88)/(H88*1000+A88*997)</x:f>
        <x:v>24.86302890046559</x:v>
      </x:c>
      <x:c r="N88" s="42" t="n">
        <x:f>(A88*997*(1000000*F88/G88))/(1000000*1000+A88*997)</x:f>
        <x:v>19.938012180185634</x:v>
      </x:c>
      <x:c r="O88" s="43" t="n">
        <x:f>ABS(M88-N88)/N88</x:f>
        <x:v>0.24701643653194424</x:v>
      </x:c>
      <x:c r="P88" s="45" t="n">
        <x:f>IF((A88*I88/H88)&lt;=M88,0,INT((((A88*I88/H88)-M88)*10000)/(A88*I88/H88)))</x:f>
        <x:v>54</x:v>
      </x:c>
      <x:c r="Q88" s="45" t="n">
        <x:f>IF(E88="SAFE",MIN(20,K88+ROUND(P88/10,0)),IF(E88="SHALLOW",MIN(75,K88+ROUND(P88/100,0)),MIN(95,K88)))</x:f>
        <x:v>88</x:v>
      </x:c>
      <x:c r="R88" s="45" t="n">
        <x:f>IF(O88&gt;'Assumptions'!$B$11,MIN(35,ROUND(O88*500,0)),0)</x:f>
        <x:v>35</x:v>
      </x:c>
      <x:c r="S88" s="45" t="n">
        <x:f>IF(J88&gt;'Assumptions'!$B$12,MIN(30,ROUND((J88-'Assumptions'!$B$12)*200,0)),0)</x:f>
        <x:v>30</x:v>
      </x:c>
      <x:c r="T88" s="45" t="n">
        <x:f>IF(Q88&gt;'Assumptions'!$B$13,ROUND(Q88/3,0),0)</x:f>
        <x:v>29</x:v>
      </x:c>
      <x:c r="U88" s="45" t="n">
        <x:f>IF(OR(D88="BAD",D88="BAIT"),100,MIN(100,R88+S88+T88))</x:f>
        <x:v>100</x:v>
      </x:c>
      <x:c r="V88" s="41" t="str">
        <x:f>IF(OR(D88="BAD",D88="BAIT"),"REJECT",IF(U88&gt;='Assumptions'!$B$15,"REJECT",IF(AND(U88&gt;='Assumptions'!$B$14,L88=TRUE),"FALLBACK","ALLOW")))</x:f>
        <x:v>REJECT</x:v>
      </x:c>
    </x:row>
    <x:row r="89">
      <x:c r="A89" s="41" t="n">
        <x:v>100</x:v>
      </x:c>
      <x:c r="B89" s="41" t="str">
        <x:v>route-good-bait-safe</x:v>
      </x:c>
      <x:c r="C89" s="41" t="str">
        <x:v>GOOD</x:v>
      </x:c>
      <x:c r="D89" s="41" t="str">
        <x:v>BAIT</x:v>
      </x:c>
      <x:c r="E89" s="41" t="str">
        <x:v>SAFE</x:v>
      </x:c>
      <x:c r="F89" s="42" t="n">
        <x:v>20</x:v>
      </x:c>
      <x:c r="G89" s="42" t="n">
        <x:v>1</x:v>
      </x:c>
      <x:c r="H89" s="42" t="n">
        <x:v>1000000</x:v>
      </x:c>
      <x:c r="I89" s="42" t="n">
        <x:v>20000000</x:v>
      </x:c>
      <x:c r="J89" s="43" t="n">
        <x:v>0.02</x:v>
      </x:c>
      <x:c r="K89" s="41" t="n">
        <x:v>12</x:v>
      </x:c>
      <x:c r="L89" s="44" t="b">
        <x:v>0</x:v>
      </x:c>
      <x:c r="M89" s="42" t="n">
        <x:f>(A89*997*I89)/(H89*1000+A89*997)</x:f>
        <x:v>1993.8012180185635</x:v>
      </x:c>
      <x:c r="N89" s="42" t="n">
        <x:f>(A89*997*(1000000*F89/G89))/(1000000*1000+A89*997)</x:f>
        <x:v>1993.8012180185635</x:v>
      </x:c>
      <x:c r="O89" s="43" t="n">
        <x:f>ABS(M89-N89)/N89</x:f>
        <x:v>0</x:v>
      </x:c>
      <x:c r="P89" s="45" t="n">
        <x:f>IF((A89*I89/H89)&lt;=M89,0,INT((((A89*I89/H89)-M89)*10000)/(A89*I89/H89)))</x:f>
        <x:v>30</x:v>
      </x:c>
      <x:c r="Q89" s="45" t="n">
        <x:f>IF(E89="SAFE",MIN(20,K89+ROUND(P89/10,0)),IF(E89="SHALLOW",MIN(75,K89+ROUND(P89/100,0)),MIN(95,K89)))</x:f>
        <x:v>15</x:v>
      </x:c>
      <x:c r="R89" s="45" t="n">
        <x:f>IF(O89&gt;'Assumptions'!$B$11,MIN(35,ROUND(O89*500,0)),0)</x:f>
        <x:v>0</x:v>
      </x:c>
      <x:c r="S89" s="45" t="n">
        <x:f>IF(J89&gt;'Assumptions'!$B$12,MIN(30,ROUND((J89-'Assumptions'!$B$12)*200,0)),0)</x:f>
        <x:v>0</x:v>
      </x:c>
      <x:c r="T89" s="45" t="n">
        <x:f>IF(Q89&gt;'Assumptions'!$B$13,ROUND(Q89/3,0),0)</x:f>
        <x:v>0</x:v>
      </x:c>
      <x:c r="U89" s="45" t="n">
        <x:f>IF(OR(D89="BAD",D89="BAIT"),100,MIN(100,R89+S89+T89))</x:f>
        <x:v>100</x:v>
      </x:c>
      <x:c r="V89" s="41" t="str">
        <x:f>IF(OR(D89="BAD",D89="BAIT"),"REJECT",IF(U89&gt;='Assumptions'!$B$15,"REJECT",IF(AND(U89&gt;='Assumptions'!$B$14,L89=TRUE),"FALLBACK","ALLOW")))</x:f>
        <x:v>REJECT</x:v>
      </x:c>
    </x:row>
    <x:row r="90">
      <x:c r="A90" s="41" t="n">
        <x:v>100</x:v>
      </x:c>
      <x:c r="B90" s="41" t="str">
        <x:v>route-good-bait-shallow</x:v>
      </x:c>
      <x:c r="C90" s="41" t="str">
        <x:v>GOOD</x:v>
      </x:c>
      <x:c r="D90" s="41" t="str">
        <x:v>BAIT</x:v>
      </x:c>
      <x:c r="E90" s="41" t="str">
        <x:v>SHALLOW</x:v>
      </x:c>
      <x:c r="F90" s="42" t="n">
        <x:v>20</x:v>
      </x:c>
      <x:c r="G90" s="42" t="n">
        <x:v>1</x:v>
      </x:c>
      <x:c r="H90" s="42" t="n">
        <x:v>500</x:v>
      </x:c>
      <x:c r="I90" s="42" t="n">
        <x:v>10000</x:v>
      </x:c>
      <x:c r="J90" s="43" t="n">
        <x:v>0.25</x:v>
      </x:c>
      <x:c r="K90" s="41" t="n">
        <x:v>55</x:v>
      </x:c>
      <x:c r="L90" s="44" t="b">
        <x:v>1</x:v>
      </x:c>
      <x:c r="M90" s="42" t="n">
        <x:f>(A90*997*I90)/(H90*1000+A90*997)</x:f>
        <x:v>1662.497915624479</x:v>
      </x:c>
      <x:c r="N90" s="42" t="n">
        <x:f>(A90*997*(1000000*F90/G90))/(1000000*1000+A90*997)</x:f>
        <x:v>1993.8012180185635</x:v>
      </x:c>
      <x:c r="O90" s="43" t="n">
        <x:f>ABS(M90-N90)/N90</x:f>
        <x:v>0.16616666666666663</x:v>
      </x:c>
      <x:c r="P90" s="45" t="n">
        <x:f>IF((A90*I90/H90)&lt;=M90,0,INT((((A90*I90/H90)-M90)*10000)/(A90*I90/H90)))</x:f>
        <x:v>1687</x:v>
      </x:c>
      <x:c r="Q90" s="45" t="n">
        <x:f>IF(E90="SAFE",MIN(20,K90+ROUND(P90/10,0)),IF(E90="SHALLOW",MIN(75,K90+ROUND(P90/100,0)),MIN(95,K90)))</x:f>
        <x:v>72</x:v>
      </x:c>
      <x:c r="R90" s="45" t="n">
        <x:f>IF(O90&gt;'Assumptions'!$B$11,MIN(35,ROUND(O90*500,0)),0)</x:f>
        <x:v>35</x:v>
      </x:c>
      <x:c r="S90" s="45" t="n">
        <x:f>IF(J90&gt;'Assumptions'!$B$12,MIN(30,ROUND((J90-'Assumptions'!$B$12)*200,0)),0)</x:f>
        <x:v>10</x:v>
      </x:c>
      <x:c r="T90" s="45" t="n">
        <x:f>IF(Q90&gt;'Assumptions'!$B$13,ROUND(Q90/3,0),0)</x:f>
        <x:v>24</x:v>
      </x:c>
      <x:c r="U90" s="45" t="n">
        <x:f>IF(OR(D90="BAD",D90="BAIT"),100,MIN(100,R90+S90+T90))</x:f>
        <x:v>100</x:v>
      </x:c>
      <x:c r="V90" s="41" t="str">
        <x:f>IF(OR(D90="BAD",D90="BAIT"),"REJECT",IF(U90&gt;='Assumptions'!$B$15,"REJECT",IF(AND(U90&gt;='Assumptions'!$B$14,L90=TRUE),"FALLBACK","ALLOW")))</x:f>
        <x:v>REJECT</x:v>
      </x:c>
    </x:row>
    <x:row r="91">
      <x:c r="A91" s="41" t="n">
        <x:v>100</x:v>
      </x:c>
      <x:c r="B91" s="41" t="str">
        <x:v>route-good-bait-toxic</x:v>
      </x:c>
      <x:c r="C91" s="41" t="str">
        <x:v>GOOD</x:v>
      </x:c>
      <x:c r="D91" s="41" t="str">
        <x:v>BAIT</x:v>
      </x:c>
      <x:c r="E91" s="41" t="str">
        <x:v>TOXIC</x:v>
      </x:c>
      <x:c r="F91" s="42" t="n">
        <x:v>20</x:v>
      </x:c>
      <x:c r="G91" s="42" t="n">
        <x:v>1</x:v>
      </x:c>
      <x:c r="H91" s="42" t="n">
        <x:v>40000</x:v>
      </x:c>
      <x:c r="I91" s="42" t="n">
        <x:v>1000000</x:v>
      </x:c>
      <x:c r="J91" s="43" t="n">
        <x:v>0.35</x:v>
      </x:c>
      <x:c r="K91" s="41" t="n">
        <x:v>88</x:v>
      </x:c>
      <x:c r="L91" s="44" t="b">
        <x:v>1</x:v>
      </x:c>
      <x:c r="M91" s="42" t="n">
        <x:f>(A91*997*I91)/(H91*1000+A91*997)</x:f>
        <x:v>2486.302890046559</x:v>
      </x:c>
      <x:c r="N91" s="42" t="n">
        <x:f>(A91*997*(1000000*F91/G91))/(1000000*1000+A91*997)</x:f>
        <x:v>1993.8012180185635</x:v>
      </x:c>
      <x:c r="O91" s="43" t="n">
        <x:f>ABS(M91-N91)/N91</x:f>
        <x:v>0.24701643653194405</x:v>
      </x:c>
      <x:c r="P91" s="45" t="n">
        <x:f>IF((A91*I91/H91)&lt;=M91,0,INT((((A91*I91/H91)-M91)*10000)/(A91*I91/H91)))</x:f>
        <x:v>54</x:v>
      </x:c>
      <x:c r="Q91" s="45" t="n">
        <x:f>IF(E91="SAFE",MIN(20,K91+ROUND(P91/10,0)),IF(E91="SHALLOW",MIN(75,K91+ROUND(P91/100,0)),MIN(95,K91)))</x:f>
        <x:v>88</x:v>
      </x:c>
      <x:c r="R91" s="45" t="n">
        <x:f>IF(O91&gt;'Assumptions'!$B$11,MIN(35,ROUND(O91*500,0)),0)</x:f>
        <x:v>35</x:v>
      </x:c>
      <x:c r="S91" s="45" t="n">
        <x:f>IF(J91&gt;'Assumptions'!$B$12,MIN(30,ROUND((J91-'Assumptions'!$B$12)*200,0)),0)</x:f>
        <x:v>30</x:v>
      </x:c>
      <x:c r="T91" s="45" t="n">
        <x:f>IF(Q91&gt;'Assumptions'!$B$13,ROUND(Q91/3,0),0)</x:f>
        <x:v>29</x:v>
      </x:c>
      <x:c r="U91" s="45" t="n">
        <x:f>IF(OR(D91="BAD",D91="BAIT"),100,MIN(100,R91+S91+T91))</x:f>
        <x:v>100</x:v>
      </x:c>
      <x:c r="V91" s="41" t="str">
        <x:f>IF(OR(D91="BAD",D91="BAIT"),"REJECT",IF(U91&gt;='Assumptions'!$B$15,"REJECT",IF(AND(U91&gt;='Assumptions'!$B$14,L91=TRUE),"FALLBACK","ALLOW")))</x:f>
        <x:v>REJECT</x:v>
      </x:c>
    </x:row>
    <x:row r="92">
      <x:c r="A92" s="41" t="n">
        <x:v>100</x:v>
      </x:c>
      <x:c r="B92" s="41" t="str">
        <x:v>route-bad-usdc-safe</x:v>
      </x:c>
      <x:c r="C92" s="41" t="str">
        <x:v>BAD</x:v>
      </x:c>
      <x:c r="D92" s="41" t="str">
        <x:v>USDC</x:v>
      </x:c>
      <x:c r="E92" s="41" t="str">
        <x:v>SAFE</x:v>
      </x:c>
      <x:c r="F92" s="42" t="n">
        <x:v>100</x:v>
      </x:c>
      <x:c r="G92" s="42" t="n">
        <x:v>1</x:v>
      </x:c>
      <x:c r="H92" s="42" t="n">
        <x:v>1000000</x:v>
      </x:c>
      <x:c r="I92" s="42" t="n">
        <x:v>100000000</x:v>
      </x:c>
      <x:c r="J92" s="43" t="n">
        <x:v>0.02</x:v>
      </x:c>
      <x:c r="K92" s="41" t="n">
        <x:v>12</x:v>
      </x:c>
      <x:c r="L92" s="44" t="b">
        <x:v>0</x:v>
      </x:c>
      <x:c r="M92" s="42" t="n">
        <x:f>(A92*997*I92)/(H92*1000+A92*997)</x:f>
        <x:v>9969.006090092818</x:v>
      </x:c>
      <x:c r="N92" s="42" t="n">
        <x:f>(A92*997*(1000000*F92/G92))/(1000000*1000+A92*997)</x:f>
        <x:v>9969.006090092818</x:v>
      </x:c>
      <x:c r="O92" s="43" t="n">
        <x:f>ABS(M92-N92)/N92</x:f>
        <x:v>0</x:v>
      </x:c>
      <x:c r="P92" s="45" t="n">
        <x:f>IF((A92*I92/H92)&lt;=M92,0,INT((((A92*I92/H92)-M92)*10000)/(A92*I92/H92)))</x:f>
        <x:v>30</x:v>
      </x:c>
      <x:c r="Q92" s="45" t="n">
        <x:f>IF(E92="SAFE",MIN(20,K92+ROUND(P92/10,0)),IF(E92="SHALLOW",MIN(75,K92+ROUND(P92/100,0)),MIN(95,K92)))</x:f>
        <x:v>15</x:v>
      </x:c>
      <x:c r="R92" s="45" t="n">
        <x:f>IF(O92&gt;'Assumptions'!$B$11,MIN(35,ROUND(O92*500,0)),0)</x:f>
        <x:v>0</x:v>
      </x:c>
      <x:c r="S92" s="45" t="n">
        <x:f>IF(J92&gt;'Assumptions'!$B$12,MIN(30,ROUND((J92-'Assumptions'!$B$12)*200,0)),0)</x:f>
        <x:v>0</x:v>
      </x:c>
      <x:c r="T92" s="45" t="n">
        <x:f>IF(Q92&gt;'Assumptions'!$B$13,ROUND(Q92/3,0),0)</x:f>
        <x:v>0</x:v>
      </x:c>
      <x:c r="U92" s="45" t="n">
        <x:f>IF(OR(D92="BAD",D92="BAIT"),100,MIN(100,R92+S92+T92))</x:f>
        <x:v>0</x:v>
      </x:c>
      <x:c r="V92" s="41" t="str">
        <x:f>IF(OR(D92="BAD",D92="BAIT"),"REJECT",IF(U92&gt;='Assumptions'!$B$15,"REJECT",IF(AND(U92&gt;='Assumptions'!$B$14,L92=TRUE),"FALLBACK","ALLOW")))</x:f>
        <x:v>ALLOW</x:v>
      </x:c>
    </x:row>
    <x:row r="93">
      <x:c r="A93" s="41" t="n">
        <x:v>100</x:v>
      </x:c>
      <x:c r="B93" s="41" t="str">
        <x:v>route-bad-usdc-shallow</x:v>
      </x:c>
      <x:c r="C93" s="41" t="str">
        <x:v>BAD</x:v>
      </x:c>
      <x:c r="D93" s="41" t="str">
        <x:v>USDC</x:v>
      </x:c>
      <x:c r="E93" s="41" t="str">
        <x:v>SHALLOW</x:v>
      </x:c>
      <x:c r="F93" s="42" t="n">
        <x:v>100</x:v>
      </x:c>
      <x:c r="G93" s="42" t="n">
        <x:v>1</x:v>
      </x:c>
      <x:c r="H93" s="42" t="n">
        <x:v>500</x:v>
      </x:c>
      <x:c r="I93" s="42" t="n">
        <x:v>50000</x:v>
      </x:c>
      <x:c r="J93" s="43" t="n">
        <x:v>0.25</x:v>
      </x:c>
      <x:c r="K93" s="41" t="n">
        <x:v>55</x:v>
      </x:c>
      <x:c r="L93" s="44" t="b">
        <x:v>1</x:v>
      </x:c>
      <x:c r="M93" s="42" t="n">
        <x:f>(A93*997*I93)/(H93*1000+A93*997)</x:f>
        <x:v>8312.489578122395</x:v>
      </x:c>
      <x:c r="N93" s="42" t="n">
        <x:f>(A93*997*(1000000*F93/G93))/(1000000*1000+A93*997)</x:f>
        <x:v>9969.006090092818</x:v>
      </x:c>
      <x:c r="O93" s="43" t="n">
        <x:f>ABS(M93-N93)/N93</x:f>
        <x:v>0.16616666666666668</x:v>
      </x:c>
      <x:c r="P93" s="45" t="n">
        <x:f>IF((A93*I93/H93)&lt;=M93,0,INT((((A93*I93/H93)-M93)*10000)/(A93*I93/H93)))</x:f>
        <x:v>1687</x:v>
      </x:c>
      <x:c r="Q93" s="45" t="n">
        <x:f>IF(E93="SAFE",MIN(20,K93+ROUND(P93/10,0)),IF(E93="SHALLOW",MIN(75,K93+ROUND(P93/100,0)),MIN(95,K93)))</x:f>
        <x:v>72</x:v>
      </x:c>
      <x:c r="R93" s="45" t="n">
        <x:f>IF(O93&gt;'Assumptions'!$B$11,MIN(35,ROUND(O93*500,0)),0)</x:f>
        <x:v>35</x:v>
      </x:c>
      <x:c r="S93" s="45" t="n">
        <x:f>IF(J93&gt;'Assumptions'!$B$12,MIN(30,ROUND((J93-'Assumptions'!$B$12)*200,0)),0)</x:f>
        <x:v>10</x:v>
      </x:c>
      <x:c r="T93" s="45" t="n">
        <x:f>IF(Q93&gt;'Assumptions'!$B$13,ROUND(Q93/3,0),0)</x:f>
        <x:v>24</x:v>
      </x:c>
      <x:c r="U93" s="45" t="n">
        <x:f>IF(OR(D93="BAD",D93="BAIT"),100,MIN(100,R93+S93+T93))</x:f>
        <x:v>69</x:v>
      </x:c>
      <x:c r="V93" s="41" t="str">
        <x:f>IF(OR(D93="BAD",D93="BAIT"),"REJECT",IF(U93&gt;='Assumptions'!$B$15,"REJECT",IF(AND(U93&gt;='Assumptions'!$B$14,L93=TRUE),"FALLBACK","ALLOW")))</x:f>
        <x:v>FALLBACK</x:v>
      </x:c>
    </x:row>
    <x:row r="94">
      <x:c r="A94" s="41" t="n">
        <x:v>100</x:v>
      </x:c>
      <x:c r="B94" s="41" t="str">
        <x:v>route-bad-usdc-toxic</x:v>
      </x:c>
      <x:c r="C94" s="41" t="str">
        <x:v>BAD</x:v>
      </x:c>
      <x:c r="D94" s="41" t="str">
        <x:v>USDC</x:v>
      </x:c>
      <x:c r="E94" s="41" t="str">
        <x:v>TOXIC</x:v>
      </x:c>
      <x:c r="F94" s="42" t="n">
        <x:v>100</x:v>
      </x:c>
      <x:c r="G94" s="42" t="n">
        <x:v>1</x:v>
      </x:c>
      <x:c r="H94" s="42" t="n">
        <x:v>40000</x:v>
      </x:c>
      <x:c r="I94" s="42" t="n">
        <x:v>5000000</x:v>
      </x:c>
      <x:c r="J94" s="43" t="n">
        <x:v>0.35</x:v>
      </x:c>
      <x:c r="K94" s="41" t="n">
        <x:v>88</x:v>
      </x:c>
      <x:c r="L94" s="44" t="b">
        <x:v>1</x:v>
      </x:c>
      <x:c r="M94" s="42" t="n">
        <x:f>(A94*997*I94)/(H94*1000+A94*997)</x:f>
        <x:v>12431.514450232795</x:v>
      </x:c>
      <x:c r="N94" s="42" t="n">
        <x:f>(A94*997*(1000000*F94/G94))/(1000000*1000+A94*997)</x:f>
        <x:v>9969.006090092818</x:v>
      </x:c>
      <x:c r="O94" s="43" t="n">
        <x:f>ABS(M94-N94)/N94</x:f>
        <x:v>0.24701643653194405</x:v>
      </x:c>
      <x:c r="P94" s="45" t="n">
        <x:f>IF((A94*I94/H94)&lt;=M94,0,INT((((A94*I94/H94)-M94)*10000)/(A94*I94/H94)))</x:f>
        <x:v>54</x:v>
      </x:c>
      <x:c r="Q94" s="45" t="n">
        <x:f>IF(E94="SAFE",MIN(20,K94+ROUND(P94/10,0)),IF(E94="SHALLOW",MIN(75,K94+ROUND(P94/100,0)),MIN(95,K94)))</x:f>
        <x:v>88</x:v>
      </x:c>
      <x:c r="R94" s="45" t="n">
        <x:f>IF(O94&gt;'Assumptions'!$B$11,MIN(35,ROUND(O94*500,0)),0)</x:f>
        <x:v>35</x:v>
      </x:c>
      <x:c r="S94" s="45" t="n">
        <x:f>IF(J94&gt;'Assumptions'!$B$12,MIN(30,ROUND((J94-'Assumptions'!$B$12)*200,0)),0)</x:f>
        <x:v>30</x:v>
      </x:c>
      <x:c r="T94" s="45" t="n">
        <x:f>IF(Q94&gt;'Assumptions'!$B$13,ROUND(Q94/3,0),0)</x:f>
        <x:v>29</x:v>
      </x:c>
      <x:c r="U94" s="45" t="n">
        <x:f>IF(OR(D94="BAD",D94="BAIT"),100,MIN(100,R94+S94+T94))</x:f>
        <x:v>94</x:v>
      </x:c>
      <x:c r="V94" s="41" t="str">
        <x:f>IF(OR(D94="BAD",D94="BAIT"),"REJECT",IF(U94&gt;='Assumptions'!$B$15,"REJECT",IF(AND(U94&gt;='Assumptions'!$B$14,L94=TRUE),"FALLBACK","ALLOW")))</x:f>
        <x:v>REJECT</x:v>
      </x:c>
    </x:row>
    <x:row r="95">
      <x:c r="A95" s="41" t="n">
        <x:v>100</x:v>
      </x:c>
      <x:c r="B95" s="41" t="str">
        <x:v>route-bad-good-safe</x:v>
      </x:c>
      <x:c r="C95" s="41" t="str">
        <x:v>BAD</x:v>
      </x:c>
      <x:c r="D95" s="41" t="str">
        <x:v>GOOD</x:v>
      </x:c>
      <x:c r="E95" s="41" t="str">
        <x:v>SAFE</x:v>
      </x:c>
      <x:c r="F95" s="42" t="n">
        <x:v>100</x:v>
      </x:c>
      <x:c r="G95" s="42" t="n">
        <x:v>20</x:v>
      </x:c>
      <x:c r="H95" s="42" t="n">
        <x:v>1000000</x:v>
      </x:c>
      <x:c r="I95" s="42" t="n">
        <x:v>5000000</x:v>
      </x:c>
      <x:c r="J95" s="43" t="n">
        <x:v>0.02</x:v>
      </x:c>
      <x:c r="K95" s="41" t="n">
        <x:v>12</x:v>
      </x:c>
      <x:c r="L95" s="44" t="b">
        <x:v>0</x:v>
      </x:c>
      <x:c r="M95" s="42" t="n">
        <x:f>(A95*997*I95)/(H95*1000+A95*997)</x:f>
        <x:v>498.4503045046409</x:v>
      </x:c>
      <x:c r="N95" s="42" t="n">
        <x:f>(A95*997*(1000000*F95/G95))/(1000000*1000+A95*997)</x:f>
        <x:v>498.4503045046409</x:v>
      </x:c>
      <x:c r="O95" s="43" t="n">
        <x:f>ABS(M95-N95)/N95</x:f>
        <x:v>0</x:v>
      </x:c>
      <x:c r="P95" s="45" t="n">
        <x:f>IF((A95*I95/H95)&lt;=M95,0,INT((((A95*I95/H95)-M95)*10000)/(A95*I95/H95)))</x:f>
        <x:v>30</x:v>
      </x:c>
      <x:c r="Q95" s="45" t="n">
        <x:f>IF(E95="SAFE",MIN(20,K95+ROUND(P95/10,0)),IF(E95="SHALLOW",MIN(75,K95+ROUND(P95/100,0)),MIN(95,K95)))</x:f>
        <x:v>15</x:v>
      </x:c>
      <x:c r="R95" s="45" t="n">
        <x:f>IF(O95&gt;'Assumptions'!$B$11,MIN(35,ROUND(O95*500,0)),0)</x:f>
        <x:v>0</x:v>
      </x:c>
      <x:c r="S95" s="45" t="n">
        <x:f>IF(J95&gt;'Assumptions'!$B$12,MIN(30,ROUND((J95-'Assumptions'!$B$12)*200,0)),0)</x:f>
        <x:v>0</x:v>
      </x:c>
      <x:c r="T95" s="45" t="n">
        <x:f>IF(Q95&gt;'Assumptions'!$B$13,ROUND(Q95/3,0),0)</x:f>
        <x:v>0</x:v>
      </x:c>
      <x:c r="U95" s="45" t="n">
        <x:f>IF(OR(D95="BAD",D95="BAIT"),100,MIN(100,R95+S95+T95))</x:f>
        <x:v>0</x:v>
      </x:c>
      <x:c r="V95" s="41" t="str">
        <x:f>IF(OR(D95="BAD",D95="BAIT"),"REJECT",IF(U95&gt;='Assumptions'!$B$15,"REJECT",IF(AND(U95&gt;='Assumptions'!$B$14,L95=TRUE),"FALLBACK","ALLOW")))</x:f>
        <x:v>ALLOW</x:v>
      </x:c>
    </x:row>
    <x:row r="96">
      <x:c r="A96" s="41" t="n">
        <x:v>100</x:v>
      </x:c>
      <x:c r="B96" s="41" t="str">
        <x:v>route-bad-good-shallow</x:v>
      </x:c>
      <x:c r="C96" s="41" t="str">
        <x:v>BAD</x:v>
      </x:c>
      <x:c r="D96" s="41" t="str">
        <x:v>GOOD</x:v>
      </x:c>
      <x:c r="E96" s="41" t="str">
        <x:v>SHALLOW</x:v>
      </x:c>
      <x:c r="F96" s="42" t="n">
        <x:v>100</x:v>
      </x:c>
      <x:c r="G96" s="42" t="n">
        <x:v>20</x:v>
      </x:c>
      <x:c r="H96" s="42" t="n">
        <x:v>500</x:v>
      </x:c>
      <x:c r="I96" s="42" t="n">
        <x:v>2500</x:v>
      </x:c>
      <x:c r="J96" s="43" t="n">
        <x:v>0.25</x:v>
      </x:c>
      <x:c r="K96" s="41" t="n">
        <x:v>55</x:v>
      </x:c>
      <x:c r="L96" s="44" t="b">
        <x:v>1</x:v>
      </x:c>
      <x:c r="M96" s="42" t="n">
        <x:f>(A96*997*I96)/(H96*1000+A96*997)</x:f>
        <x:v>415.62447890611975</x:v>
      </x:c>
      <x:c r="N96" s="42" t="n">
        <x:f>(A96*997*(1000000*F96/G96))/(1000000*1000+A96*997)</x:f>
        <x:v>498.4503045046409</x:v>
      </x:c>
      <x:c r="O96" s="43" t="n">
        <x:f>ABS(M96-N96)/N96</x:f>
        <x:v>0.16616666666666663</x:v>
      </x:c>
      <x:c r="P96" s="45" t="n">
        <x:f>IF((A96*I96/H96)&lt;=M96,0,INT((((A96*I96/H96)-M96)*10000)/(A96*I96/H96)))</x:f>
        <x:v>1687</x:v>
      </x:c>
      <x:c r="Q96" s="45" t="n">
        <x:f>IF(E96="SAFE",MIN(20,K96+ROUND(P96/10,0)),IF(E96="SHALLOW",MIN(75,K96+ROUND(P96/100,0)),MIN(95,K96)))</x:f>
        <x:v>72</x:v>
      </x:c>
      <x:c r="R96" s="45" t="n">
        <x:f>IF(O96&gt;'Assumptions'!$B$11,MIN(35,ROUND(O96*500,0)),0)</x:f>
        <x:v>35</x:v>
      </x:c>
      <x:c r="S96" s="45" t="n">
        <x:f>IF(J96&gt;'Assumptions'!$B$12,MIN(30,ROUND((J96-'Assumptions'!$B$12)*200,0)),0)</x:f>
        <x:v>10</x:v>
      </x:c>
      <x:c r="T96" s="45" t="n">
        <x:f>IF(Q96&gt;'Assumptions'!$B$13,ROUND(Q96/3,0),0)</x:f>
        <x:v>24</x:v>
      </x:c>
      <x:c r="U96" s="45" t="n">
        <x:f>IF(OR(D96="BAD",D96="BAIT"),100,MIN(100,R96+S96+T96))</x:f>
        <x:v>69</x:v>
      </x:c>
      <x:c r="V96" s="41" t="str">
        <x:f>IF(OR(D96="BAD",D96="BAIT"),"REJECT",IF(U96&gt;='Assumptions'!$B$15,"REJECT",IF(AND(U96&gt;='Assumptions'!$B$14,L96=TRUE),"FALLBACK","ALLOW")))</x:f>
        <x:v>FALLBACK</x:v>
      </x:c>
    </x:row>
    <x:row r="97">
      <x:c r="A97" s="41" t="n">
        <x:v>100</x:v>
      </x:c>
      <x:c r="B97" s="41" t="str">
        <x:v>route-bad-good-toxic</x:v>
      </x:c>
      <x:c r="C97" s="41" t="str">
        <x:v>BAD</x:v>
      </x:c>
      <x:c r="D97" s="41" t="str">
        <x:v>GOOD</x:v>
      </x:c>
      <x:c r="E97" s="41" t="str">
        <x:v>TOXIC</x:v>
      </x:c>
      <x:c r="F97" s="42" t="n">
        <x:v>100</x:v>
      </x:c>
      <x:c r="G97" s="42" t="n">
        <x:v>20</x:v>
      </x:c>
      <x:c r="H97" s="42" t="n">
        <x:v>40000</x:v>
      </x:c>
      <x:c r="I97" s="42" t="n">
        <x:v>250000</x:v>
      </x:c>
      <x:c r="J97" s="43" t="n">
        <x:v>0.35</x:v>
      </x:c>
      <x:c r="K97" s="41" t="n">
        <x:v>88</x:v>
      </x:c>
      <x:c r="L97" s="44" t="b">
        <x:v>1</x:v>
      </x:c>
      <x:c r="M97" s="42" t="n">
        <x:f>(A97*997*I97)/(H97*1000+A97*997)</x:f>
        <x:v>621.5757225116397</x:v>
      </x:c>
      <x:c r="N97" s="42" t="n">
        <x:f>(A97*997*(1000000*F97/G97))/(1000000*1000+A97*997)</x:f>
        <x:v>498.4503045046409</x:v>
      </x:c>
      <x:c r="O97" s="43" t="n">
        <x:f>ABS(M97-N97)/N97</x:f>
        <x:v>0.24701643653194405</x:v>
      </x:c>
      <x:c r="P97" s="45" t="n">
        <x:f>IF((A97*I97/H97)&lt;=M97,0,INT((((A97*I97/H97)-M97)*10000)/(A97*I97/H97)))</x:f>
        <x:v>54</x:v>
      </x:c>
      <x:c r="Q97" s="45" t="n">
        <x:f>IF(E97="SAFE",MIN(20,K97+ROUND(P97/10,0)),IF(E97="SHALLOW",MIN(75,K97+ROUND(P97/100,0)),MIN(95,K97)))</x:f>
        <x:v>88</x:v>
      </x:c>
      <x:c r="R97" s="45" t="n">
        <x:f>IF(O97&gt;'Assumptions'!$B$11,MIN(35,ROUND(O97*500,0)),0)</x:f>
        <x:v>35</x:v>
      </x:c>
      <x:c r="S97" s="45" t="n">
        <x:f>IF(J97&gt;'Assumptions'!$B$12,MIN(30,ROUND((J97-'Assumptions'!$B$12)*200,0)),0)</x:f>
        <x:v>30</x:v>
      </x:c>
      <x:c r="T97" s="45" t="n">
        <x:f>IF(Q97&gt;'Assumptions'!$B$13,ROUND(Q97/3,0),0)</x:f>
        <x:v>29</x:v>
      </x:c>
      <x:c r="U97" s="45" t="n">
        <x:f>IF(OR(D97="BAD",D97="BAIT"),100,MIN(100,R97+S97+T97))</x:f>
        <x:v>94</x:v>
      </x:c>
      <x:c r="V97" s="41" t="str">
        <x:f>IF(OR(D97="BAD",D97="BAIT"),"REJECT",IF(U97&gt;='Assumptions'!$B$15,"REJECT",IF(AND(U97&gt;='Assumptions'!$B$14,L97=TRUE),"FALLBACK","ALLOW")))</x:f>
        <x:v>REJECT</x:v>
      </x:c>
    </x:row>
    <x:row r="98">
      <x:c r="A98" s="41" t="n">
        <x:v>100</x:v>
      </x:c>
      <x:c r="B98" s="41" t="str">
        <x:v>route-bad-bait-safe</x:v>
      </x:c>
      <x:c r="C98" s="41" t="str">
        <x:v>BAD</x:v>
      </x:c>
      <x:c r="D98" s="41" t="str">
        <x:v>BAIT</x:v>
      </x:c>
      <x:c r="E98" s="41" t="str">
        <x:v>SAFE</x:v>
      </x:c>
      <x:c r="F98" s="42" t="n">
        <x:v>100</x:v>
      </x:c>
      <x:c r="G98" s="42" t="n">
        <x:v>1</x:v>
      </x:c>
      <x:c r="H98" s="42" t="n">
        <x:v>1000000</x:v>
      </x:c>
      <x:c r="I98" s="42" t="n">
        <x:v>100000000</x:v>
      </x:c>
      <x:c r="J98" s="43" t="n">
        <x:v>0.02</x:v>
      </x:c>
      <x:c r="K98" s="41" t="n">
        <x:v>12</x:v>
      </x:c>
      <x:c r="L98" s="44" t="b">
        <x:v>0</x:v>
      </x:c>
      <x:c r="M98" s="42" t="n">
        <x:f>(A98*997*I98)/(H98*1000+A98*997)</x:f>
        <x:v>9969.006090092818</x:v>
      </x:c>
      <x:c r="N98" s="42" t="n">
        <x:f>(A98*997*(1000000*F98/G98))/(1000000*1000+A98*997)</x:f>
        <x:v>9969.006090092818</x:v>
      </x:c>
      <x:c r="O98" s="43" t="n">
        <x:f>ABS(M98-N98)/N98</x:f>
        <x:v>0</x:v>
      </x:c>
      <x:c r="P98" s="45" t="n">
        <x:f>IF((A98*I98/H98)&lt;=M98,0,INT((((A98*I98/H98)-M98)*10000)/(A98*I98/H98)))</x:f>
        <x:v>30</x:v>
      </x:c>
      <x:c r="Q98" s="45" t="n">
        <x:f>IF(E98="SAFE",MIN(20,K98+ROUND(P98/10,0)),IF(E98="SHALLOW",MIN(75,K98+ROUND(P98/100,0)),MIN(95,K98)))</x:f>
        <x:v>15</x:v>
      </x:c>
      <x:c r="R98" s="45" t="n">
        <x:f>IF(O98&gt;'Assumptions'!$B$11,MIN(35,ROUND(O98*500,0)),0)</x:f>
        <x:v>0</x:v>
      </x:c>
      <x:c r="S98" s="45" t="n">
        <x:f>IF(J98&gt;'Assumptions'!$B$12,MIN(30,ROUND((J98-'Assumptions'!$B$12)*200,0)),0)</x:f>
        <x:v>0</x:v>
      </x:c>
      <x:c r="T98" s="45" t="n">
        <x:f>IF(Q98&gt;'Assumptions'!$B$13,ROUND(Q98/3,0),0)</x:f>
        <x:v>0</x:v>
      </x:c>
      <x:c r="U98" s="45" t="n">
        <x:f>IF(OR(D98="BAD",D98="BAIT"),100,MIN(100,R98+S98+T98))</x:f>
        <x:v>100</x:v>
      </x:c>
      <x:c r="V98" s="41" t="str">
        <x:f>IF(OR(D98="BAD",D98="BAIT"),"REJECT",IF(U98&gt;='Assumptions'!$B$15,"REJECT",IF(AND(U98&gt;='Assumptions'!$B$14,L98=TRUE),"FALLBACK","ALLOW")))</x:f>
        <x:v>REJECT</x:v>
      </x:c>
    </x:row>
    <x:row r="99">
      <x:c r="A99" s="41" t="n">
        <x:v>100</x:v>
      </x:c>
      <x:c r="B99" s="41" t="str">
        <x:v>route-bad-bait-shallow</x:v>
      </x:c>
      <x:c r="C99" s="41" t="str">
        <x:v>BAD</x:v>
      </x:c>
      <x:c r="D99" s="41" t="str">
        <x:v>BAIT</x:v>
      </x:c>
      <x:c r="E99" s="41" t="str">
        <x:v>SHALLOW</x:v>
      </x:c>
      <x:c r="F99" s="42" t="n">
        <x:v>100</x:v>
      </x:c>
      <x:c r="G99" s="42" t="n">
        <x:v>1</x:v>
      </x:c>
      <x:c r="H99" s="42" t="n">
        <x:v>500</x:v>
      </x:c>
      <x:c r="I99" s="42" t="n">
        <x:v>50000</x:v>
      </x:c>
      <x:c r="J99" s="43" t="n">
        <x:v>0.25</x:v>
      </x:c>
      <x:c r="K99" s="41" t="n">
        <x:v>55</x:v>
      </x:c>
      <x:c r="L99" s="44" t="b">
        <x:v>1</x:v>
      </x:c>
      <x:c r="M99" s="42" t="n">
        <x:f>(A99*997*I99)/(H99*1000+A99*997)</x:f>
        <x:v>8312.489578122395</x:v>
      </x:c>
      <x:c r="N99" s="42" t="n">
        <x:f>(A99*997*(1000000*F99/G99))/(1000000*1000+A99*997)</x:f>
        <x:v>9969.006090092818</x:v>
      </x:c>
      <x:c r="O99" s="43" t="n">
        <x:f>ABS(M99-N99)/N99</x:f>
        <x:v>0.16616666666666668</x:v>
      </x:c>
      <x:c r="P99" s="45" t="n">
        <x:f>IF((A99*I99/H99)&lt;=M99,0,INT((((A99*I99/H99)-M99)*10000)/(A99*I99/H99)))</x:f>
        <x:v>1687</x:v>
      </x:c>
      <x:c r="Q99" s="45" t="n">
        <x:f>IF(E99="SAFE",MIN(20,K99+ROUND(P99/10,0)),IF(E99="SHALLOW",MIN(75,K99+ROUND(P99/100,0)),MIN(95,K99)))</x:f>
        <x:v>72</x:v>
      </x:c>
      <x:c r="R99" s="45" t="n">
        <x:f>IF(O99&gt;'Assumptions'!$B$11,MIN(35,ROUND(O99*500,0)),0)</x:f>
        <x:v>35</x:v>
      </x:c>
      <x:c r="S99" s="45" t="n">
        <x:f>IF(J99&gt;'Assumptions'!$B$12,MIN(30,ROUND((J99-'Assumptions'!$B$12)*200,0)),0)</x:f>
        <x:v>10</x:v>
      </x:c>
      <x:c r="T99" s="45" t="n">
        <x:f>IF(Q99&gt;'Assumptions'!$B$13,ROUND(Q99/3,0),0)</x:f>
        <x:v>24</x:v>
      </x:c>
      <x:c r="U99" s="45" t="n">
        <x:f>IF(OR(D99="BAD",D99="BAIT"),100,MIN(100,R99+S99+T99))</x:f>
        <x:v>100</x:v>
      </x:c>
      <x:c r="V99" s="41" t="str">
        <x:f>IF(OR(D99="BAD",D99="BAIT"),"REJECT",IF(U99&gt;='Assumptions'!$B$15,"REJECT",IF(AND(U99&gt;='Assumptions'!$B$14,L99=TRUE),"FALLBACK","ALLOW")))</x:f>
        <x:v>REJECT</x:v>
      </x:c>
    </x:row>
    <x:row r="100">
      <x:c r="A100" s="41" t="n">
        <x:v>100</x:v>
      </x:c>
      <x:c r="B100" s="41" t="str">
        <x:v>route-bad-bait-toxic</x:v>
      </x:c>
      <x:c r="C100" s="41" t="str">
        <x:v>BAD</x:v>
      </x:c>
      <x:c r="D100" s="41" t="str">
        <x:v>BAIT</x:v>
      </x:c>
      <x:c r="E100" s="41" t="str">
        <x:v>TOXIC</x:v>
      </x:c>
      <x:c r="F100" s="42" t="n">
        <x:v>100</x:v>
      </x:c>
      <x:c r="G100" s="42" t="n">
        <x:v>1</x:v>
      </x:c>
      <x:c r="H100" s="42" t="n">
        <x:v>40000</x:v>
      </x:c>
      <x:c r="I100" s="42" t="n">
        <x:v>5000000</x:v>
      </x:c>
      <x:c r="J100" s="43" t="n">
        <x:v>0.35</x:v>
      </x:c>
      <x:c r="K100" s="41" t="n">
        <x:v>88</x:v>
      </x:c>
      <x:c r="L100" s="44" t="b">
        <x:v>1</x:v>
      </x:c>
      <x:c r="M100" s="42" t="n">
        <x:f>(A100*997*I100)/(H100*1000+A100*997)</x:f>
        <x:v>12431.514450232795</x:v>
      </x:c>
      <x:c r="N100" s="42" t="n">
        <x:f>(A100*997*(1000000*F100/G100))/(1000000*1000+A100*997)</x:f>
        <x:v>9969.006090092818</x:v>
      </x:c>
      <x:c r="O100" s="43" t="n">
        <x:f>ABS(M100-N100)/N100</x:f>
        <x:v>0.24701643653194405</x:v>
      </x:c>
      <x:c r="P100" s="45" t="n">
        <x:f>IF((A100*I100/H100)&lt;=M100,0,INT((((A100*I100/H100)-M100)*10000)/(A100*I100/H100)))</x:f>
        <x:v>54</x:v>
      </x:c>
      <x:c r="Q100" s="45" t="n">
        <x:f>IF(E100="SAFE",MIN(20,K100+ROUND(P100/10,0)),IF(E100="SHALLOW",MIN(75,K100+ROUND(P100/100,0)),MIN(95,K100)))</x:f>
        <x:v>88</x:v>
      </x:c>
      <x:c r="R100" s="45" t="n">
        <x:f>IF(O100&gt;'Assumptions'!$B$11,MIN(35,ROUND(O100*500,0)),0)</x:f>
        <x:v>35</x:v>
      </x:c>
      <x:c r="S100" s="45" t="n">
        <x:f>IF(J100&gt;'Assumptions'!$B$12,MIN(30,ROUND((J100-'Assumptions'!$B$12)*200,0)),0)</x:f>
        <x:v>30</x:v>
      </x:c>
      <x:c r="T100" s="45" t="n">
        <x:f>IF(Q100&gt;'Assumptions'!$B$13,ROUND(Q100/3,0),0)</x:f>
        <x:v>29</x:v>
      </x:c>
      <x:c r="U100" s="45" t="n">
        <x:f>IF(OR(D100="BAD",D100="BAIT"),100,MIN(100,R100+S100+T100))</x:f>
        <x:v>100</x:v>
      </x:c>
      <x:c r="V100" s="41" t="str">
        <x:f>IF(OR(D100="BAD",D100="BAIT"),"REJECT",IF(U100&gt;='Assumptions'!$B$15,"REJECT",IF(AND(U100&gt;='Assumptions'!$B$14,L100=TRUE),"FALLBACK","ALLOW")))</x:f>
        <x:v>REJECT</x:v>
      </x:c>
    </x:row>
    <x:row r="101">
      <x:c r="A101" s="41" t="n">
        <x:v>100</x:v>
      </x:c>
      <x:c r="B101" s="41" t="str">
        <x:v>route-bait-usdc-safe</x:v>
      </x:c>
      <x:c r="C101" s="41" t="str">
        <x:v>BAIT</x:v>
      </x:c>
      <x:c r="D101" s="41" t="str">
        <x:v>USDC</x:v>
      </x:c>
      <x:c r="E101" s="41" t="str">
        <x:v>SAFE</x:v>
      </x:c>
      <x:c r="F101" s="42" t="n">
        <x:v>1</x:v>
      </x:c>
      <x:c r="G101" s="42" t="n">
        <x:v>1</x:v>
      </x:c>
      <x:c r="H101" s="42" t="n">
        <x:v>1000000</x:v>
      </x:c>
      <x:c r="I101" s="42" t="n">
        <x:v>1000000</x:v>
      </x:c>
      <x:c r="J101" s="43" t="n">
        <x:v>0.02</x:v>
      </x:c>
      <x:c r="K101" s="41" t="n">
        <x:v>12</x:v>
      </x:c>
      <x:c r="L101" s="44" t="b">
        <x:v>0</x:v>
      </x:c>
      <x:c r="M101" s="42" t="n">
        <x:f>(A101*997*I101)/(H101*1000+A101*997)</x:f>
        <x:v>99.69006090092817</x:v>
      </x:c>
      <x:c r="N101" s="42" t="n">
        <x:f>(A101*997*(1000000*F101/G101))/(1000000*1000+A101*997)</x:f>
        <x:v>99.69006090092817</x:v>
      </x:c>
      <x:c r="O101" s="43" t="n">
        <x:f>ABS(M101-N101)/N101</x:f>
        <x:v>0</x:v>
      </x:c>
      <x:c r="P101" s="45" t="n">
        <x:f>IF((A101*I101/H101)&lt;=M101,0,INT((((A101*I101/H101)-M101)*10000)/(A101*I101/H101)))</x:f>
        <x:v>30</x:v>
      </x:c>
      <x:c r="Q101" s="45" t="n">
        <x:f>IF(E101="SAFE",MIN(20,K101+ROUND(P101/10,0)),IF(E101="SHALLOW",MIN(75,K101+ROUND(P101/100,0)),MIN(95,K101)))</x:f>
        <x:v>15</x:v>
      </x:c>
      <x:c r="R101" s="45" t="n">
        <x:f>IF(O101&gt;'Assumptions'!$B$11,MIN(35,ROUND(O101*500,0)),0)</x:f>
        <x:v>0</x:v>
      </x:c>
      <x:c r="S101" s="45" t="n">
        <x:f>IF(J101&gt;'Assumptions'!$B$12,MIN(30,ROUND((J101-'Assumptions'!$B$12)*200,0)),0)</x:f>
        <x:v>0</x:v>
      </x:c>
      <x:c r="T101" s="45" t="n">
        <x:f>IF(Q101&gt;'Assumptions'!$B$13,ROUND(Q101/3,0),0)</x:f>
        <x:v>0</x:v>
      </x:c>
      <x:c r="U101" s="45" t="n">
        <x:f>IF(OR(D101="BAD",D101="BAIT"),100,MIN(100,R101+S101+T101))</x:f>
        <x:v>0</x:v>
      </x:c>
      <x:c r="V101" s="41" t="str">
        <x:f>IF(OR(D101="BAD",D101="BAIT"),"REJECT",IF(U101&gt;='Assumptions'!$B$15,"REJECT",IF(AND(U101&gt;='Assumptions'!$B$14,L101=TRUE),"FALLBACK","ALLOW")))</x:f>
        <x:v>ALLOW</x:v>
      </x:c>
    </x:row>
    <x:row r="102">
      <x:c r="A102" s="41" t="n">
        <x:v>100</x:v>
      </x:c>
      <x:c r="B102" s="41" t="str">
        <x:v>route-bait-usdc-shallow</x:v>
      </x:c>
      <x:c r="C102" s="41" t="str">
        <x:v>BAIT</x:v>
      </x:c>
      <x:c r="D102" s="41" t="str">
        <x:v>USDC</x:v>
      </x:c>
      <x:c r="E102" s="41" t="str">
        <x:v>SHALLOW</x:v>
      </x:c>
      <x:c r="F102" s="42" t="n">
        <x:v>1</x:v>
      </x:c>
      <x:c r="G102" s="42" t="n">
        <x:v>1</x:v>
      </x:c>
      <x:c r="H102" s="42" t="n">
        <x:v>500</x:v>
      </x:c>
      <x:c r="I102" s="42" t="n">
        <x:v>500</x:v>
      </x:c>
      <x:c r="J102" s="43" t="n">
        <x:v>0.25</x:v>
      </x:c>
      <x:c r="K102" s="41" t="n">
        <x:v>55</x:v>
      </x:c>
      <x:c r="L102" s="44" t="b">
        <x:v>1</x:v>
      </x:c>
      <x:c r="M102" s="42" t="n">
        <x:f>(A102*997*I102)/(H102*1000+A102*997)</x:f>
        <x:v>83.12489578122394</x:v>
      </x:c>
      <x:c r="N102" s="42" t="n">
        <x:f>(A102*997*(1000000*F102/G102))/(1000000*1000+A102*997)</x:f>
        <x:v>99.69006090092817</x:v>
      </x:c>
      <x:c r="O102" s="43" t="n">
        <x:f>ABS(M102-N102)/N102</x:f>
        <x:v>0.16616666666666668</x:v>
      </x:c>
      <x:c r="P102" s="45" t="n">
        <x:f>IF((A102*I102/H102)&lt;=M102,0,INT((((A102*I102/H102)-M102)*10000)/(A102*I102/H102)))</x:f>
        <x:v>1687</x:v>
      </x:c>
      <x:c r="Q102" s="45" t="n">
        <x:f>IF(E102="SAFE",MIN(20,K102+ROUND(P102/10,0)),IF(E102="SHALLOW",MIN(75,K102+ROUND(P102/100,0)),MIN(95,K102)))</x:f>
        <x:v>72</x:v>
      </x:c>
      <x:c r="R102" s="45" t="n">
        <x:f>IF(O102&gt;'Assumptions'!$B$11,MIN(35,ROUND(O102*500,0)),0)</x:f>
        <x:v>35</x:v>
      </x:c>
      <x:c r="S102" s="45" t="n">
        <x:f>IF(J102&gt;'Assumptions'!$B$12,MIN(30,ROUND((J102-'Assumptions'!$B$12)*200,0)),0)</x:f>
        <x:v>10</x:v>
      </x:c>
      <x:c r="T102" s="45" t="n">
        <x:f>IF(Q102&gt;'Assumptions'!$B$13,ROUND(Q102/3,0),0)</x:f>
        <x:v>24</x:v>
      </x:c>
      <x:c r="U102" s="45" t="n">
        <x:f>IF(OR(D102="BAD",D102="BAIT"),100,MIN(100,R102+S102+T102))</x:f>
        <x:v>69</x:v>
      </x:c>
      <x:c r="V102" s="41" t="str">
        <x:f>IF(OR(D102="BAD",D102="BAIT"),"REJECT",IF(U102&gt;='Assumptions'!$B$15,"REJECT",IF(AND(U102&gt;='Assumptions'!$B$14,L102=TRUE),"FALLBACK","ALLOW")))</x:f>
        <x:v>FALLBACK</x:v>
      </x:c>
    </x:row>
    <x:row r="103">
      <x:c r="A103" s="41" t="n">
        <x:v>100</x:v>
      </x:c>
      <x:c r="B103" s="41" t="str">
        <x:v>route-bait-usdc-toxic</x:v>
      </x:c>
      <x:c r="C103" s="41" t="str">
        <x:v>BAIT</x:v>
      </x:c>
      <x:c r="D103" s="41" t="str">
        <x:v>USDC</x:v>
      </x:c>
      <x:c r="E103" s="41" t="str">
        <x:v>TOXIC</x:v>
      </x:c>
      <x:c r="F103" s="42" t="n">
        <x:v>1</x:v>
      </x:c>
      <x:c r="G103" s="42" t="n">
        <x:v>1</x:v>
      </x:c>
      <x:c r="H103" s="42" t="n">
        <x:v>40000</x:v>
      </x:c>
      <x:c r="I103" s="42" t="n">
        <x:v>50000</x:v>
      </x:c>
      <x:c r="J103" s="43" t="n">
        <x:v>0.35</x:v>
      </x:c>
      <x:c r="K103" s="41" t="n">
        <x:v>88</x:v>
      </x:c>
      <x:c r="L103" s="44" t="b">
        <x:v>1</x:v>
      </x:c>
      <x:c r="M103" s="42" t="n">
        <x:f>(A103*997*I103)/(H103*1000+A103*997)</x:f>
        <x:v>124.31514450232795</x:v>
      </x:c>
      <x:c r="N103" s="42" t="n">
        <x:f>(A103*997*(1000000*F103/G103))/(1000000*1000+A103*997)</x:f>
        <x:v>99.69006090092817</x:v>
      </x:c>
      <x:c r="O103" s="43" t="n">
        <x:f>ABS(M103-N103)/N103</x:f>
        <x:v>0.24701643653194424</x:v>
      </x:c>
      <x:c r="P103" s="45" t="n">
        <x:f>IF((A103*I103/H103)&lt;=M103,0,INT((((A103*I103/H103)-M103)*10000)/(A103*I103/H103)))</x:f>
        <x:v>54</x:v>
      </x:c>
      <x:c r="Q103" s="45" t="n">
        <x:f>IF(E103="SAFE",MIN(20,K103+ROUND(P103/10,0)),IF(E103="SHALLOW",MIN(75,K103+ROUND(P103/100,0)),MIN(95,K103)))</x:f>
        <x:v>88</x:v>
      </x:c>
      <x:c r="R103" s="45" t="n">
        <x:f>IF(O103&gt;'Assumptions'!$B$11,MIN(35,ROUND(O103*500,0)),0)</x:f>
        <x:v>35</x:v>
      </x:c>
      <x:c r="S103" s="45" t="n">
        <x:f>IF(J103&gt;'Assumptions'!$B$12,MIN(30,ROUND((J103-'Assumptions'!$B$12)*200,0)),0)</x:f>
        <x:v>30</x:v>
      </x:c>
      <x:c r="T103" s="45" t="n">
        <x:f>IF(Q103&gt;'Assumptions'!$B$13,ROUND(Q103/3,0),0)</x:f>
        <x:v>29</x:v>
      </x:c>
      <x:c r="U103" s="45" t="n">
        <x:f>IF(OR(D103="BAD",D103="BAIT"),100,MIN(100,R103+S103+T103))</x:f>
        <x:v>94</x:v>
      </x:c>
      <x:c r="V103" s="41" t="str">
        <x:f>IF(OR(D103="BAD",D103="BAIT"),"REJECT",IF(U103&gt;='Assumptions'!$B$15,"REJECT",IF(AND(U103&gt;='Assumptions'!$B$14,L103=TRUE),"FALLBACK","ALLOW")))</x:f>
        <x:v>REJECT</x:v>
      </x:c>
    </x:row>
    <x:row r="104">
      <x:c r="A104" s="41" t="n">
        <x:v>100</x:v>
      </x:c>
      <x:c r="B104" s="41" t="str">
        <x:v>route-bait-good-safe</x:v>
      </x:c>
      <x:c r="C104" s="41" t="str">
        <x:v>BAIT</x:v>
      </x:c>
      <x:c r="D104" s="41" t="str">
        <x:v>GOOD</x:v>
      </x:c>
      <x:c r="E104" s="41" t="str">
        <x:v>SAFE</x:v>
      </x:c>
      <x:c r="F104" s="42" t="n">
        <x:v>1</x:v>
      </x:c>
      <x:c r="G104" s="42" t="n">
        <x:v>20</x:v>
      </x:c>
      <x:c r="H104" s="42" t="n">
        <x:v>1000000</x:v>
      </x:c>
      <x:c r="I104" s="42" t="n">
        <x:v>50000</x:v>
      </x:c>
      <x:c r="J104" s="43" t="n">
        <x:v>0.02</x:v>
      </x:c>
      <x:c r="K104" s="41" t="n">
        <x:v>12</x:v>
      </x:c>
      <x:c r="L104" s="44" t="b">
        <x:v>0</x:v>
      </x:c>
      <x:c r="M104" s="42" t="n">
        <x:f>(A104*997*I104)/(H104*1000+A104*997)</x:f>
        <x:v>4.9845030450464085</x:v>
      </x:c>
      <x:c r="N104" s="42" t="n">
        <x:f>(A104*997*(1000000*F104/G104))/(1000000*1000+A104*997)</x:f>
        <x:v>4.9845030450464085</x:v>
      </x:c>
      <x:c r="O104" s="43" t="n">
        <x:f>ABS(M104-N104)/N104</x:f>
        <x:v>0</x:v>
      </x:c>
      <x:c r="P104" s="45" t="n">
        <x:f>IF((A104*I104/H104)&lt;=M104,0,INT((((A104*I104/H104)-M104)*10000)/(A104*I104/H104)))</x:f>
        <x:v>30</x:v>
      </x:c>
      <x:c r="Q104" s="45" t="n">
        <x:f>IF(E104="SAFE",MIN(20,K104+ROUND(P104/10,0)),IF(E104="SHALLOW",MIN(75,K104+ROUND(P104/100,0)),MIN(95,K104)))</x:f>
        <x:v>15</x:v>
      </x:c>
      <x:c r="R104" s="45" t="n">
        <x:f>IF(O104&gt;'Assumptions'!$B$11,MIN(35,ROUND(O104*500,0)),0)</x:f>
        <x:v>0</x:v>
      </x:c>
      <x:c r="S104" s="45" t="n">
        <x:f>IF(J104&gt;'Assumptions'!$B$12,MIN(30,ROUND((J104-'Assumptions'!$B$12)*200,0)),0)</x:f>
        <x:v>0</x:v>
      </x:c>
      <x:c r="T104" s="45" t="n">
        <x:f>IF(Q104&gt;'Assumptions'!$B$13,ROUND(Q104/3,0),0)</x:f>
        <x:v>0</x:v>
      </x:c>
      <x:c r="U104" s="45" t="n">
        <x:f>IF(OR(D104="BAD",D104="BAIT"),100,MIN(100,R104+S104+T104))</x:f>
        <x:v>0</x:v>
      </x:c>
      <x:c r="V104" s="41" t="str">
        <x:f>IF(OR(D104="BAD",D104="BAIT"),"REJECT",IF(U104&gt;='Assumptions'!$B$15,"REJECT",IF(AND(U104&gt;='Assumptions'!$B$14,L104=TRUE),"FALLBACK","ALLOW")))</x:f>
        <x:v>ALLOW</x:v>
      </x:c>
    </x:row>
    <x:row r="105">
      <x:c r="A105" s="41" t="n">
        <x:v>100</x:v>
      </x:c>
      <x:c r="B105" s="41" t="str">
        <x:v>route-bait-good-shallow</x:v>
      </x:c>
      <x:c r="C105" s="41" t="str">
        <x:v>BAIT</x:v>
      </x:c>
      <x:c r="D105" s="41" t="str">
        <x:v>GOOD</x:v>
      </x:c>
      <x:c r="E105" s="41" t="str">
        <x:v>SHALLOW</x:v>
      </x:c>
      <x:c r="F105" s="42" t="n">
        <x:v>1</x:v>
      </x:c>
      <x:c r="G105" s="42" t="n">
        <x:v>20</x:v>
      </x:c>
      <x:c r="H105" s="42" t="n">
        <x:v>500</x:v>
      </x:c>
      <x:c r="I105" s="42" t="n">
        <x:v>25</x:v>
      </x:c>
      <x:c r="J105" s="43" t="n">
        <x:v>0.25</x:v>
      </x:c>
      <x:c r="K105" s="41" t="n">
        <x:v>55</x:v>
      </x:c>
      <x:c r="L105" s="44" t="b">
        <x:v>1</x:v>
      </x:c>
      <x:c r="M105" s="42" t="n">
        <x:f>(A105*997*I105)/(H105*1000+A105*997)</x:f>
        <x:v>4.156244789061197</x:v>
      </x:c>
      <x:c r="N105" s="42" t="n">
        <x:f>(A105*997*(1000000*F105/G105))/(1000000*1000+A105*997)</x:f>
        <x:v>4.9845030450464085</x:v>
      </x:c>
      <x:c r="O105" s="43" t="n">
        <x:f>ABS(M105-N105)/N105</x:f>
        <x:v>0.16616666666666668</x:v>
      </x:c>
      <x:c r="P105" s="45" t="n">
        <x:f>IF((A105*I105/H105)&lt;=M105,0,INT((((A105*I105/H105)-M105)*10000)/(A105*I105/H105)))</x:f>
        <x:v>1687</x:v>
      </x:c>
      <x:c r="Q105" s="45" t="n">
        <x:f>IF(E105="SAFE",MIN(20,K105+ROUND(P105/10,0)),IF(E105="SHALLOW",MIN(75,K105+ROUND(P105/100,0)),MIN(95,K105)))</x:f>
        <x:v>72</x:v>
      </x:c>
      <x:c r="R105" s="45" t="n">
        <x:f>IF(O105&gt;'Assumptions'!$B$11,MIN(35,ROUND(O105*500,0)),0)</x:f>
        <x:v>35</x:v>
      </x:c>
      <x:c r="S105" s="45" t="n">
        <x:f>IF(J105&gt;'Assumptions'!$B$12,MIN(30,ROUND((J105-'Assumptions'!$B$12)*200,0)),0)</x:f>
        <x:v>10</x:v>
      </x:c>
      <x:c r="T105" s="45" t="n">
        <x:f>IF(Q105&gt;'Assumptions'!$B$13,ROUND(Q105/3,0),0)</x:f>
        <x:v>24</x:v>
      </x:c>
      <x:c r="U105" s="45" t="n">
        <x:f>IF(OR(D105="BAD",D105="BAIT"),100,MIN(100,R105+S105+T105))</x:f>
        <x:v>69</x:v>
      </x:c>
      <x:c r="V105" s="41" t="str">
        <x:f>IF(OR(D105="BAD",D105="BAIT"),"REJECT",IF(U105&gt;='Assumptions'!$B$15,"REJECT",IF(AND(U105&gt;='Assumptions'!$B$14,L105=TRUE),"FALLBACK","ALLOW")))</x:f>
        <x:v>FALLBACK</x:v>
      </x:c>
    </x:row>
    <x:row r="106">
      <x:c r="A106" s="41" t="n">
        <x:v>100</x:v>
      </x:c>
      <x:c r="B106" s="41" t="str">
        <x:v>route-bait-good-toxic</x:v>
      </x:c>
      <x:c r="C106" s="41" t="str">
        <x:v>BAIT</x:v>
      </x:c>
      <x:c r="D106" s="41" t="str">
        <x:v>GOOD</x:v>
      </x:c>
      <x:c r="E106" s="41" t="str">
        <x:v>TOXIC</x:v>
      </x:c>
      <x:c r="F106" s="42" t="n">
        <x:v>1</x:v>
      </x:c>
      <x:c r="G106" s="42" t="n">
        <x:v>20</x:v>
      </x:c>
      <x:c r="H106" s="42" t="n">
        <x:v>40000</x:v>
      </x:c>
      <x:c r="I106" s="42" t="n">
        <x:v>2500</x:v>
      </x:c>
      <x:c r="J106" s="43" t="n">
        <x:v>0.35</x:v>
      </x:c>
      <x:c r="K106" s="41" t="n">
        <x:v>88</x:v>
      </x:c>
      <x:c r="L106" s="44" t="b">
        <x:v>1</x:v>
      </x:c>
      <x:c r="M106" s="42" t="n">
        <x:f>(A106*997*I106)/(H106*1000+A106*997)</x:f>
        <x:v>6.2157572251163975</x:v>
      </x:c>
      <x:c r="N106" s="42" t="n">
        <x:f>(A106*997*(1000000*F106/G106))/(1000000*1000+A106*997)</x:f>
        <x:v>4.9845030450464085</x:v>
      </x:c>
      <x:c r="O106" s="43" t="n">
        <x:f>ABS(M106-N106)/N106</x:f>
        <x:v>0.24701643653194424</x:v>
      </x:c>
      <x:c r="P106" s="45" t="n">
        <x:f>IF((A106*I106/H106)&lt;=M106,0,INT((((A106*I106/H106)-M106)*10000)/(A106*I106/H106)))</x:f>
        <x:v>54</x:v>
      </x:c>
      <x:c r="Q106" s="45" t="n">
        <x:f>IF(E106="SAFE",MIN(20,K106+ROUND(P106/10,0)),IF(E106="SHALLOW",MIN(75,K106+ROUND(P106/100,0)),MIN(95,K106)))</x:f>
        <x:v>88</x:v>
      </x:c>
      <x:c r="R106" s="45" t="n">
        <x:f>IF(O106&gt;'Assumptions'!$B$11,MIN(35,ROUND(O106*500,0)),0)</x:f>
        <x:v>35</x:v>
      </x:c>
      <x:c r="S106" s="45" t="n">
        <x:f>IF(J106&gt;'Assumptions'!$B$12,MIN(30,ROUND((J106-'Assumptions'!$B$12)*200,0)),0)</x:f>
        <x:v>30</x:v>
      </x:c>
      <x:c r="T106" s="45" t="n">
        <x:f>IF(Q106&gt;'Assumptions'!$B$13,ROUND(Q106/3,0),0)</x:f>
        <x:v>29</x:v>
      </x:c>
      <x:c r="U106" s="45" t="n">
        <x:f>IF(OR(D106="BAD",D106="BAIT"),100,MIN(100,R106+S106+T106))</x:f>
        <x:v>94</x:v>
      </x:c>
      <x:c r="V106" s="41" t="str">
        <x:f>IF(OR(D106="BAD",D106="BAIT"),"REJECT",IF(U106&gt;='Assumptions'!$B$15,"REJECT",IF(AND(U106&gt;='Assumptions'!$B$14,L106=TRUE),"FALLBACK","ALLOW")))</x:f>
        <x:v>REJECT</x:v>
      </x:c>
    </x:row>
    <x:row r="107">
      <x:c r="A107" s="41" t="n">
        <x:v>100</x:v>
      </x:c>
      <x:c r="B107" s="41" t="str">
        <x:v>route-bait-bad-safe</x:v>
      </x:c>
      <x:c r="C107" s="41" t="str">
        <x:v>BAIT</x:v>
      </x:c>
      <x:c r="D107" s="41" t="str">
        <x:v>BAD</x:v>
      </x:c>
      <x:c r="E107" s="41" t="str">
        <x:v>SAFE</x:v>
      </x:c>
      <x:c r="F107" s="42" t="n">
        <x:v>1</x:v>
      </x:c>
      <x:c r="G107" s="42" t="n">
        <x:v>100</x:v>
      </x:c>
      <x:c r="H107" s="42" t="n">
        <x:v>1000000</x:v>
      </x:c>
      <x:c r="I107" s="42" t="n">
        <x:v>10000</x:v>
      </x:c>
      <x:c r="J107" s="43" t="n">
        <x:v>0.02</x:v>
      </x:c>
      <x:c r="K107" s="41" t="n">
        <x:v>12</x:v>
      </x:c>
      <x:c r="L107" s="44" t="b">
        <x:v>0</x:v>
      </x:c>
      <x:c r="M107" s="42" t="n">
        <x:f>(A107*997*I107)/(H107*1000+A107*997)</x:f>
        <x:v>0.9969006090092818</x:v>
      </x:c>
      <x:c r="N107" s="42" t="n">
        <x:f>(A107*997*(1000000*F107/G107))/(1000000*1000+A107*997)</x:f>
        <x:v>0.9969006090092818</x:v>
      </x:c>
      <x:c r="O107" s="43" t="n">
        <x:f>ABS(M107-N107)/N107</x:f>
        <x:v>0</x:v>
      </x:c>
      <x:c r="P107" s="45" t="n">
        <x:f>IF((A107*I107/H107)&lt;=M107,0,INT((((A107*I107/H107)-M107)*10000)/(A107*I107/H107)))</x:f>
        <x:v>30</x:v>
      </x:c>
      <x:c r="Q107" s="45" t="n">
        <x:f>IF(E107="SAFE",MIN(20,K107+ROUND(P107/10,0)),IF(E107="SHALLOW",MIN(75,K107+ROUND(P107/100,0)),MIN(95,K107)))</x:f>
        <x:v>15</x:v>
      </x:c>
      <x:c r="R107" s="45" t="n">
        <x:f>IF(O107&gt;'Assumptions'!$B$11,MIN(35,ROUND(O107*500,0)),0)</x:f>
        <x:v>0</x:v>
      </x:c>
      <x:c r="S107" s="45" t="n">
        <x:f>IF(J107&gt;'Assumptions'!$B$12,MIN(30,ROUND((J107-'Assumptions'!$B$12)*200,0)),0)</x:f>
        <x:v>0</x:v>
      </x:c>
      <x:c r="T107" s="45" t="n">
        <x:f>IF(Q107&gt;'Assumptions'!$B$13,ROUND(Q107/3,0),0)</x:f>
        <x:v>0</x:v>
      </x:c>
      <x:c r="U107" s="45" t="n">
        <x:f>IF(OR(D107="BAD",D107="BAIT"),100,MIN(100,R107+S107+T107))</x:f>
        <x:v>100</x:v>
      </x:c>
      <x:c r="V107" s="41" t="str">
        <x:f>IF(OR(D107="BAD",D107="BAIT"),"REJECT",IF(U107&gt;='Assumptions'!$B$15,"REJECT",IF(AND(U107&gt;='Assumptions'!$B$14,L107=TRUE),"FALLBACK","ALLOW")))</x:f>
        <x:v>REJECT</x:v>
      </x:c>
    </x:row>
    <x:row r="108">
      <x:c r="A108" s="41" t="n">
        <x:v>100</x:v>
      </x:c>
      <x:c r="B108" s="41" t="str">
        <x:v>route-bait-bad-shallow</x:v>
      </x:c>
      <x:c r="C108" s="41" t="str">
        <x:v>BAIT</x:v>
      </x:c>
      <x:c r="D108" s="41" t="str">
        <x:v>BAD</x:v>
      </x:c>
      <x:c r="E108" s="41" t="str">
        <x:v>SHALLOW</x:v>
      </x:c>
      <x:c r="F108" s="42" t="n">
        <x:v>1</x:v>
      </x:c>
      <x:c r="G108" s="42" t="n">
        <x:v>100</x:v>
      </x:c>
      <x:c r="H108" s="42" t="n">
        <x:v>500</x:v>
      </x:c>
      <x:c r="I108" s="42" t="n">
        <x:v>5</x:v>
      </x:c>
      <x:c r="J108" s="43" t="n">
        <x:v>0.25</x:v>
      </x:c>
      <x:c r="K108" s="41" t="n">
        <x:v>55</x:v>
      </x:c>
      <x:c r="L108" s="44" t="b">
        <x:v>1</x:v>
      </x:c>
      <x:c r="M108" s="42" t="n">
        <x:f>(A108*997*I108)/(H108*1000+A108*997)</x:f>
        <x:v>0.8312489578122395</x:v>
      </x:c>
      <x:c r="N108" s="42" t="n">
        <x:f>(A108*997*(1000000*F108/G108))/(1000000*1000+A108*997)</x:f>
        <x:v>0.9969006090092818</x:v>
      </x:c>
      <x:c r="O108" s="43" t="n">
        <x:f>ABS(M108-N108)/N108</x:f>
        <x:v>0.16616666666666663</x:v>
      </x:c>
      <x:c r="P108" s="45" t="n">
        <x:f>IF((A108*I108/H108)&lt;=M108,0,INT((((A108*I108/H108)-M108)*10000)/(A108*I108/H108)))</x:f>
        <x:v>1687</x:v>
      </x:c>
      <x:c r="Q108" s="45" t="n">
        <x:f>IF(E108="SAFE",MIN(20,K108+ROUND(P108/10,0)),IF(E108="SHALLOW",MIN(75,K108+ROUND(P108/100,0)),MIN(95,K108)))</x:f>
        <x:v>72</x:v>
      </x:c>
      <x:c r="R108" s="45" t="n">
        <x:f>IF(O108&gt;'Assumptions'!$B$11,MIN(35,ROUND(O108*500,0)),0)</x:f>
        <x:v>35</x:v>
      </x:c>
      <x:c r="S108" s="45" t="n">
        <x:f>IF(J108&gt;'Assumptions'!$B$12,MIN(30,ROUND((J108-'Assumptions'!$B$12)*200,0)),0)</x:f>
        <x:v>10</x:v>
      </x:c>
      <x:c r="T108" s="45" t="n">
        <x:f>IF(Q108&gt;'Assumptions'!$B$13,ROUND(Q108/3,0),0)</x:f>
        <x:v>24</x:v>
      </x:c>
      <x:c r="U108" s="45" t="n">
        <x:f>IF(OR(D108="BAD",D108="BAIT"),100,MIN(100,R108+S108+T108))</x:f>
        <x:v>100</x:v>
      </x:c>
      <x:c r="V108" s="41" t="str">
        <x:f>IF(OR(D108="BAD",D108="BAIT"),"REJECT",IF(U108&gt;='Assumptions'!$B$15,"REJECT",IF(AND(U108&gt;='Assumptions'!$B$14,L108=TRUE),"FALLBACK","ALLOW")))</x:f>
        <x:v>REJECT</x:v>
      </x:c>
    </x:row>
    <x:row r="109">
      <x:c r="A109" s="46" t="n">
        <x:v>100</x:v>
      </x:c>
      <x:c r="B109" s="46" t="str">
        <x:v>route-bait-bad-toxic</x:v>
      </x:c>
      <x:c r="C109" s="46" t="str">
        <x:v>BAIT</x:v>
      </x:c>
      <x:c r="D109" s="46" t="str">
        <x:v>BAD</x:v>
      </x:c>
      <x:c r="E109" s="46" t="str">
        <x:v>TOXIC</x:v>
      </x:c>
      <x:c r="F109" s="47" t="n">
        <x:v>1</x:v>
      </x:c>
      <x:c r="G109" s="47" t="n">
        <x:v>100</x:v>
      </x:c>
      <x:c r="H109" s="47" t="n">
        <x:v>40000</x:v>
      </x:c>
      <x:c r="I109" s="47" t="n">
        <x:v>500</x:v>
      </x:c>
      <x:c r="J109" s="48" t="n">
        <x:v>0.35</x:v>
      </x:c>
      <x:c r="K109" s="46" t="n">
        <x:v>88</x:v>
      </x:c>
      <x:c r="L109" s="49" t="b">
        <x:v>1</x:v>
      </x:c>
      <x:c r="M109" s="47" t="n">
        <x:f>(A109*997*I109)/(H109*1000+A109*997)</x:f>
        <x:v>1.2431514450232795</x:v>
      </x:c>
      <x:c r="N109" s="47" t="n">
        <x:f>(A109*997*(1000000*F109/G109))/(1000000*1000+A109*997)</x:f>
        <x:v>0.9969006090092818</x:v>
      </x:c>
      <x:c r="O109" s="48" t="n">
        <x:f>ABS(M109-N109)/N109</x:f>
        <x:v>0.24701643653194408</x:v>
      </x:c>
      <x:c r="P109" s="50" t="n">
        <x:f>IF((A109*I109/H109)&lt;=M109,0,INT((((A109*I109/H109)-M109)*10000)/(A109*I109/H109)))</x:f>
        <x:v>54</x:v>
      </x:c>
      <x:c r="Q109" s="50" t="n">
        <x:f>IF(E109="SAFE",MIN(20,K109+ROUND(P109/10,0)),IF(E109="SHALLOW",MIN(75,K109+ROUND(P109/100,0)),MIN(95,K109)))</x:f>
        <x:v>88</x:v>
      </x:c>
      <x:c r="R109" s="50" t="n">
        <x:f>IF(O109&gt;'Assumptions'!$B$11,MIN(35,ROUND(O109*500,0)),0)</x:f>
        <x:v>35</x:v>
      </x:c>
      <x:c r="S109" s="50" t="n">
        <x:f>IF(J109&gt;'Assumptions'!$B$12,MIN(30,ROUND((J109-'Assumptions'!$B$12)*200,0)),0)</x:f>
        <x:v>30</x:v>
      </x:c>
      <x:c r="T109" s="50" t="n">
        <x:f>IF(Q109&gt;'Assumptions'!$B$13,ROUND(Q109/3,0),0)</x:f>
        <x:v>29</x:v>
      </x:c>
      <x:c r="U109" s="50" t="n">
        <x:f>IF(OR(D109="BAD",D109="BAIT"),100,MIN(100,R109+S109+T109))</x:f>
        <x:v>100</x:v>
      </x:c>
      <x:c r="V109" s="46" t="str">
        <x:f>IF(OR(D109="BAD",D109="BAIT"),"REJECT",IF(U109&gt;='Assumptions'!$B$15,"REJECT",IF(AND(U109&gt;='Assumptions'!$B$14,L109=TRUE),"FALLBACK","ALLOW")))</x:f>
        <x:v>REJECT</x:v>
      </x:c>
    </x:row>
  </x:sheetData>
  <x:conditionalFormatting sqref="V2:V109">
    <x:cfRule type="containsText" dxfId="0" priority="1" operator="containsText" text="ALLOW"/>
    <x:cfRule type="containsText" dxfId="1" priority="2" operator="containsText" text="FALLBACK"/>
    <x:cfRule type="containsText" dxfId="2" priority="3" operator="containsText" text="REJECT"/>
  </x:conditionalFormatting>
  <x:pageMargins left="0.7" right="0.7" top="0.75" bottom="0.75" header="0.3" footer="0.3"/>
  <x:tableParts count="1">
    <x:tablePart xmlns:r="http://schemas.openxmlformats.org/officeDocument/2006/relationships" r:id="Rcf233bac77e24c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3" t="str">
        <x:v>Sentinel Scenario Assumptions</x:v>
      </x:c>
      <x:c r="B1" s="3"/>
      <x:c r="C1" s="3"/>
      <x:c r="D1" s="3"/>
      <x:c r="E1" s="3"/>
      <x:c r="F1" s="3"/>
    </x:row>
    <x:row r="3">
      <x:c r="A3" s="10" t="str">
        <x:v>Token Key</x:v>
      </x:c>
      <x:c r="B3" s="11" t="str">
        <x:v>Symbol</x:v>
      </x:c>
      <x:c r="C3" s="11" t="str">
        <x:v>Decimals</x:v>
      </x:c>
      <x:c r="D3" s="12" t="str">
        <x:v>Price (USDC)</x:v>
      </x:c>
      <x:c r="F3" s="10" t="str">
        <x:v>Pool</x:v>
      </x:c>
      <x:c r="G3" s="11" t="str">
        <x:v>Reserve In</x:v>
      </x:c>
      <x:c r="H3" s="11" t="str">
        <x:v>Reserve Out Base</x:v>
      </x:c>
      <x:c r="I3" s="11" t="str">
        <x:v>Failure Rate</x:v>
      </x:c>
      <x:c r="J3" s="11" t="str">
        <x:v>Base Risk</x:v>
      </x:c>
      <x:c r="K3" s="12" t="str">
        <x:v>Fallback</x:v>
      </x:c>
    </x:row>
    <x:row r="4">
      <x:c r="A4" s="13" t="str">
        <x:v>usdc</x:v>
      </x:c>
      <x:c r="B4" s="14" t="str">
        <x:v>USDC</x:v>
      </x:c>
      <x:c r="C4" s="14" t="n">
        <x:v>6</x:v>
      </x:c>
      <x:c r="D4" s="15" t="n">
        <x:v>1</x:v>
      </x:c>
      <x:c r="F4" s="13" t="str">
        <x:v>SAFE</x:v>
      </x:c>
      <x:c r="G4" s="14" t="n">
        <x:v>1000000</x:v>
      </x:c>
      <x:c r="H4" s="14" t="n">
        <x:v>1000000</x:v>
      </x:c>
      <x:c r="I4" s="9" t="n">
        <x:v>0.02</x:v>
      </x:c>
      <x:c r="J4" s="14" t="n">
        <x:v>12</x:v>
      </x:c>
      <x:c r="K4" s="19" t="b">
        <x:v>0</x:v>
      </x:c>
    </x:row>
    <x:row r="5">
      <x:c r="A5" s="13" t="str">
        <x:v>good</x:v>
      </x:c>
      <x:c r="B5" s="14" t="str">
        <x:v>GOOD</x:v>
      </x:c>
      <x:c r="C5" s="14" t="n">
        <x:v>18</x:v>
      </x:c>
      <x:c r="D5" s="15" t="n">
        <x:v>20</x:v>
      </x:c>
      <x:c r="F5" s="13" t="str">
        <x:v>SHALLOW</x:v>
      </x:c>
      <x:c r="G5" s="14" t="n">
        <x:v>500</x:v>
      </x:c>
      <x:c r="H5" s="14" t="n">
        <x:v>500</x:v>
      </x:c>
      <x:c r="I5" s="9" t="n">
        <x:v>0.25</x:v>
      </x:c>
      <x:c r="J5" s="14" t="n">
        <x:v>55</x:v>
      </x:c>
      <x:c r="K5" s="19" t="b">
        <x:v>1</x:v>
      </x:c>
    </x:row>
    <x:row r="6">
      <x:c r="A6" s="13" t="str">
        <x:v>bad</x:v>
      </x:c>
      <x:c r="B6" s="14" t="str">
        <x:v>BAD</x:v>
      </x:c>
      <x:c r="C6" s="14" t="n">
        <x:v>18</x:v>
      </x:c>
      <x:c r="D6" s="15" t="n">
        <x:v>100</x:v>
      </x:c>
      <x:c r="F6" s="16" t="str">
        <x:v>TOXIC</x:v>
      </x:c>
      <x:c r="G6" s="17" t="n">
        <x:v>40000</x:v>
      </x:c>
      <x:c r="H6" s="17" t="n">
        <x:v>50000</x:v>
      </x:c>
      <x:c r="I6" s="20" t="n">
        <x:v>0.35</x:v>
      </x:c>
      <x:c r="J6" s="17" t="n">
        <x:v>88</x:v>
      </x:c>
      <x:c r="K6" s="21" t="b">
        <x:v>1</x:v>
      </x:c>
    </x:row>
    <x:row r="7">
      <x:c r="A7" s="16" t="str">
        <x:v>bait</x:v>
      </x:c>
      <x:c r="B7" s="17" t="str">
        <x:v>BAIT</x:v>
      </x:c>
      <x:c r="C7" s="17" t="n">
        <x:v>18</x:v>
      </x:c>
      <x:c r="D7" s="18" t="n">
        <x:v>1</x:v>
      </x:c>
    </x:row>
    <x:row r="10">
      <x:c r="A10" s="10" t="str">
        <x:v>Risk Rule</x:v>
      </x:c>
      <x:c r="B10" s="12" t="str">
        <x:v>Value</x:v>
      </x:c>
    </x:row>
    <x:row r="11">
      <x:c r="A11" s="13" t="str">
        <x:v>Quote deviation threshold</x:v>
      </x:c>
      <x:c r="B11" s="22" t="n">
        <x:v>0.008</x:v>
      </x:c>
    </x:row>
    <x:row r="12">
      <x:c r="A12" s="13" t="str">
        <x:v>Failure-rate threshold</x:v>
      </x:c>
      <x:c r="B12" s="22" t="n">
        <x:v>0.2</x:v>
      </x:c>
    </x:row>
    <x:row r="13">
      <x:c r="A13" s="13" t="str">
        <x:v>Pool-risk threshold</x:v>
      </x:c>
      <x:c r="B13" s="23" t="n">
        <x:v>70</x:v>
      </x:c>
    </x:row>
    <x:row r="14">
      <x:c r="A14" s="13" t="str">
        <x:v>Fallback score threshold</x:v>
      </x:c>
      <x:c r="B14" s="23" t="n">
        <x:v>40</x:v>
      </x:c>
    </x:row>
    <x:row r="15">
      <x:c r="A15" s="16" t="str">
        <x:v>Reject score threshold</x:v>
      </x:c>
      <x:c r="B15" s="24" t="n">
        <x:v>70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6" hidden="0" customWidth="1"/>
    <x:col min="3" max="3" width="30" hidden="0" customWidth="1"/>
  </x:cols>
  <x:sheetData>
    <x:row r="1">
      <x:c r="A1" s="2" t="str">
        <x:v>Methodology, Evidence, and Limitations</x:v>
      </x:c>
      <x:c r="B1" s="2"/>
      <x:c r="C1" s="2"/>
      <x:c r="D1" s="2"/>
      <x:c r="E1" s="2"/>
      <x:c r="F1" s="2"/>
    </x:row>
    <x:row r="3">
      <x:c r="A3" s="178" t="str">
        <x:v>Topic</x:v>
      </x:c>
      <x:c r="B3" s="178" t="str">
        <x:v>Finding</x:v>
      </x:c>
      <x:c r="C3" s="178" t="str">
        <x:v>Classification</x:v>
      </x:c>
    </x:row>
    <x:row r="4">
      <x:c r="A4" s="179" t="str">
        <x:v>Scenario</x:v>
      </x:c>
      <x:c r="B4" s="179" t="str">
        <x:v>4 tokens × 12 directed pairs × 3 pools = 36 routes</x:v>
      </x:c>
      <x:c r="C4" s="179" t="str">
        <x:v>Scenario-defined</x:v>
      </x:c>
    </x:row>
    <x:row r="5">
      <x:c r="A5" s="179" t="str">
        <x:v>Quotes</x:v>
      </x:c>
      <x:c r="B5" s="179" t="str">
        <x:v>Constant-product formula with a 0.3% fee</x:v>
      </x:c>
      <x:c r="C5" s="179" t="str">
        <x:v>Derived</x:v>
      </x:c>
    </x:row>
    <x:row r="6">
      <x:c r="A6" s="179" t="str">
        <x:v>Failure rates</x:v>
      </x:c>
      <x:c r="B6" s="179" t="str">
        <x:v>2% SAFE, 25% SHALLOW, 35% TOXIC</x:v>
      </x:c>
      <x:c r="C6" s="179" t="str">
        <x:v>Synthetic configuration</x:v>
      </x:c>
    </x:row>
    <x:row r="7">
      <x:c r="A7" s="179" t="str">
        <x:v>Risk decisions</x:v>
      </x:c>
      <x:c r="B7" s="179" t="str">
        <x:v>Normal-profile deterministic scoring</x:v>
      </x:c>
      <x:c r="C7" s="179" t="str">
        <x:v>Derived</x:v>
      </x:c>
    </x:row>
    <x:row r="8">
      <x:c r="A8" s="179" t="str">
        <x:v>Runtime events</x:v>
      </x:c>
      <x:c r="B8" s="179" t="str">
        <x:v>No collected events.jsonl dataset is present</x:v>
      </x:c>
      <x:c r="C8" s="179" t="str">
        <x:v>Unavailable</x:v>
      </x:c>
    </x:row>
    <x:row r="9">
      <x:c r="A9" s="179" t="str">
        <x:v>Test evidence</x:v>
      </x:c>
      <x:c r="B9" s="179" t="str">
        <x:v>48 Foundry tests passed; 36/36 direct swaps passed</x:v>
      </x:c>
      <x:c r="C9" s="179" t="str">
        <x:v>Measured test evidence</x:v>
      </x:c>
    </x:row>
    <x:row r="10">
      <x:c r="A10" s="180"/>
      <x:c r="B10" s="180"/>
      <x:c r="C10" s="180"/>
    </x:row>
    <x:row r="11">
      <x:c r="A11" s="180"/>
      <x:c r="B11" s="180"/>
      <x:c r="C11" s="180"/>
    </x:row>
    <x:row r="12">
      <x:c r="A12" s="178" t="str">
        <x:v>Limitation</x:v>
      </x:c>
      <x:c r="B12" s="178" t="str">
        <x:v>Why it matters</x:v>
      </x:c>
      <x:c r="C12" s="178" t="str">
        <x:v>Report treatment</x:v>
      </x:c>
    </x:row>
    <x:row r="13">
      <x:c r="A13" s="179" t="str">
        <x:v>36/36 swaps</x:v>
      </x:c>
      <x:c r="B13" s="179" t="str">
        <x:v>Direct test bypasses Agent and Vault</x:v>
      </x:c>
      <x:c r="C13" s="179" t="str">
        <x:v>Do not call these 36 protected swaps</x:v>
      </x:c>
    </x:row>
    <x:row r="14">
      <x:c r="A14" s="179" t="str">
        <x:v>Dashboard volume</x:v>
      </x:c>
      <x:c r="B14" s="179" t="str">
        <x:v>Calculated as successful events × $100</x:v>
      </x:c>
      <x:c r="C14" s="179" t="str">
        <x:v>Exclude from measured results</x:v>
      </x:c>
    </x:row>
    <x:row r="15">
      <x:c r="A15" s="179" t="str">
        <x:v>Pool health</x:v>
      </x:c>
      <x:c r="B15" s="179" t="str">
        <x:v>All non-SAFE pools are marked degraded</x:v>
      </x:c>
      <x:c r="C15" s="179" t="str">
        <x:v>Treat as scenario classification</x:v>
      </x:c>
    </x:row>
    <x:row r="16">
      <x:c r="A16" s="179" t="str">
        <x:v>Fallback result</x:v>
      </x:c>
      <x:c r="B16" s="179" t="str">
        <x:v>SAFE re-evaluation can replace the original fallback decision</x:v>
      </x:c>
      <x:c r="C16" s="179" t="str">
        <x:v>Use requested versus executed route</x:v>
      </x:c>
    </x:row>
    <x:row r="17">
      <x:c r="A17" s="179" t="str">
        <x:v>Vault loss</x:v>
      </x:c>
      <x:c r="B17" s="179" t="str">
        <x:v>Raw amounts of different tokens are compared</x:v>
      </x:c>
      <x:c r="C17" s="179" t="str">
        <x:v>Do not interpret as economic loss</x:v>
      </x:c>
    </x:row>
    <x:row r="18">
      <x:c r="A18" s="179" t="str">
        <x:v>Real-world validity</x:v>
      </x:c>
      <x:c r="B18" s="179" t="str">
        <x:v>No historical or independent attack dataset</x:v>
      </x:c>
      <x:c r="C18" s="179" t="str">
        <x:v>Limit conclusion to synthetic proof of concept</x:v>
      </x:c>
    </x:row>
  </x:sheetData>
  <x:mergeCells>
    <x:mergeCell ref="A1:F1"/>
  </x:mergeCells>
  <x:pageMargins left="0.7" right="0.7" top="0.75" bottom="0.75" header="0.3" footer="0.3"/>
</x:worksheet>
</file>